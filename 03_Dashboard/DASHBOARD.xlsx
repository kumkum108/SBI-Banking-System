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Ex1.xml" ContentType="application/vnd.ms-office.chartex+xml"/>
  <Override PartName="/xl/charts/chartEx2.xml" ContentType="application/vnd.ms-office.chartex+xml"/>
  <Override PartName="/xl/charts/chartEx3.xml" ContentType="application/vnd.ms-office.chartex+xml"/>
  <Override PartName="/xl/charts/chartEx4.xml" ContentType="application/vnd.ms-office.chartex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72"/>
  </bookViews>
  <sheets>
    <sheet name="Sheet1" sheetId="1" r:id="rId1"/>
  </sheets>
  <externalReferences>
    <externalReference r:id="rId8"/>
    <externalReference r:id="rId9"/>
    <externalReference r:id="rId10"/>
  </externalReferences>
  <definedNames>
    <definedName name="Slicer_state_name">#N/A</definedName>
    <definedName name="Slicer_region_name">#N/A</definedName>
    <definedName name="Slicer_branch_name1">#N/A</definedName>
    <definedName name="_xlchart.v1.0" hidden="1">#REF!</definedName>
    <definedName name="_xlchart.v1.1" hidden="1">#REF!</definedName>
    <definedName name="_xlchart.v1.2" hidden="1">#REF!</definedName>
    <definedName name="_xlchart.v1.3" hidden="1">#REF!</definedName>
    <definedName name="_xlchart.v1.4" hidden="1">#REF!</definedName>
    <definedName name="_xlchart.v1.5" hidden="1">#REF!</definedName>
    <definedName name="_xlchart.v1.6" hidden="1">#REF!</definedName>
    <definedName name="_xlchart.v1.7" hidden="1">#REF!</definedName>
    <definedName name="_xlchart.v1.8" hidden="1">#REF!</definedName>
    <definedName name="_xlchart.v1.9" hidden="1">#REF!</definedName>
    <definedName name="_xlchart.v1.10" hidden="1">#REF!</definedName>
    <definedName name="_xlchart.v1.11" hidden="1">#REF!</definedName>
    <definedName name="_xlchart.v1.12" hidden="1">#REF!</definedName>
    <definedName name="_xlchart.v1.13" hidden="1">#REF!</definedName>
    <definedName name="_xlchart.v1.14" hidden="1">#REF!</definedName>
    <definedName name="_xlchart.v1.15" hidden="1">#REF!</definedName>
    <definedName name="_xlchart.v1.16" hidden="1">#REF!</definedName>
    <definedName name="_xlchart.v1.17" hidden="1">#REF!</definedName>
    <definedName name="_xlchart.v1.18" hidden="1">#REF!</definedName>
    <definedName name="_xlchart.v1.19" hidden="1">#REF!</definedName>
    <definedName name="_xlchart.v1.20" hidden="1">#REF!</definedName>
    <definedName name="_xlchart.v1.21" hidden="1">#REF!</definedName>
    <definedName name="_xlchart.v1.22" hidden="1">#REF!</definedName>
    <definedName name="_xlchart.v1.23" hidden="1">#REF!</definedName>
    <definedName name="_xlchart.v1.24" hidden="1">#REF!</definedName>
    <definedName name="_xlchart.v1.25" hidden="1">#REF!</definedName>
    <definedName name="_xlchart.v1.26" hidden="1">#REF!</definedName>
    <definedName name="_xlchart.v1.27" hidden="1">#REF!</definedName>
    <definedName name="_xlchart.v1.28" hidden="1">#REF!</definedName>
    <definedName name="_xlchart.v1.29" hidden="1">#REF!</definedName>
  </definedNames>
  <calcPr calcId="191029"/>
  <pivotCaches>
    <pivotCache cacheId="0" r:id="rId2"/>
    <pivotCache cacheId="1" r:id="rId3"/>
    <pivotCache cacheId="2" r:id="rId4"/>
  </pivotCaches>
  <extLst>
    <ext xmlns:x14="http://schemas.microsoft.com/office/spreadsheetml/2009/9/main" uri="{BBE1A952-AA13-448e-AADC-164F8A28A991}">
      <x14:slicerCaches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<sst xmlns="http://schemas.openxmlformats.org/spreadsheetml/2006/main" count="509" uniqueCount="212">
  <si>
    <r>
      <rPr>
        <sz val="11"/>
        <color theme="1"/>
        <rFont val="Calibri"/>
        <charset val="134"/>
        <scheme val="minor"/>
      </rPr>
      <t xml:space="preserve">則 </t>
    </r>
    <r>
      <rPr>
        <b/>
        <sz val="11"/>
        <color theme="1"/>
        <rFont val="Calibri"/>
        <charset val="134"/>
        <scheme val="minor"/>
      </rPr>
      <t>Customers</t>
    </r>
  </si>
  <si>
    <t>Branch</t>
  </si>
  <si>
    <t>Total deposits</t>
  </si>
  <si>
    <t>SBI Bhubaneswar Main</t>
  </si>
  <si>
    <t>SBI BKC Mumbai</t>
  </si>
  <si>
    <t>SBI Borivali Mumbai</t>
  </si>
  <si>
    <t>SBI CG Road Ahmedabad</t>
  </si>
  <si>
    <t>SBI Chandigarh Main</t>
  </si>
  <si>
    <t>SBI Chembur Mumbai</t>
  </si>
  <si>
    <t>Grand Total</t>
  </si>
  <si>
    <t>region_name</t>
  </si>
  <si>
    <t>Sum of total_deposits</t>
  </si>
  <si>
    <t>Central Region</t>
  </si>
  <si>
    <t>Eastern Region</t>
  </si>
  <si>
    <t>North-Eastern Region</t>
  </si>
  <si>
    <t>Northern Region</t>
  </si>
  <si>
    <t>Southern Region</t>
  </si>
  <si>
    <t>Western Region</t>
  </si>
  <si>
    <t>Utilized Credits</t>
  </si>
  <si>
    <t>Available Credits</t>
  </si>
  <si>
    <t>state_name</t>
  </si>
  <si>
    <t>Sum of insurance_premium</t>
  </si>
  <si>
    <t>Andhra Pradesh</t>
  </si>
  <si>
    <t>Loan Outstanding by Type</t>
  </si>
  <si>
    <t>Arunachal Pradesh</t>
  </si>
  <si>
    <t>Assam</t>
  </si>
  <si>
    <t>Bihar</t>
  </si>
  <si>
    <t>Chhattisgarh</t>
  </si>
  <si>
    <t>Delhi</t>
  </si>
  <si>
    <t>Sum of fd_amount</t>
  </si>
  <si>
    <t>Column1</t>
  </si>
  <si>
    <t>Column2</t>
  </si>
  <si>
    <t>city_name</t>
  </si>
  <si>
    <t>total_customers</t>
  </si>
  <si>
    <t>total_accounts</t>
  </si>
  <si>
    <t>total_deposits</t>
  </si>
  <si>
    <t>total_loans</t>
  </si>
  <si>
    <t>total_loan_amount</t>
  </si>
  <si>
    <t>outstanding_loan_amount</t>
  </si>
  <si>
    <t>total_fixed_deposits</t>
  </si>
  <si>
    <t>fd_amount</t>
  </si>
  <si>
    <t>maturity_amount</t>
  </si>
  <si>
    <t>total_credit_cards</t>
  </si>
  <si>
    <t>total_credit_limit</t>
  </si>
  <si>
    <t>utilized_credit</t>
  </si>
  <si>
    <t>utilization_percent</t>
  </si>
  <si>
    <t>insurance_policies</t>
  </si>
  <si>
    <t>insurance_premium</t>
  </si>
  <si>
    <t>lockers</t>
  </si>
  <si>
    <t>active_lockers</t>
  </si>
  <si>
    <t>Mumbai</t>
  </si>
  <si>
    <t>Maharashtra</t>
  </si>
  <si>
    <t>NULL</t>
  </si>
  <si>
    <t>Pune</t>
  </si>
  <si>
    <t>Nagpur</t>
  </si>
  <si>
    <t>New Delhi</t>
  </si>
  <si>
    <t>Bengaluru</t>
  </si>
  <si>
    <t>Karnataka</t>
  </si>
  <si>
    <t>Chennai</t>
  </si>
  <si>
    <t>Tamil Nadu</t>
  </si>
  <si>
    <t>Ahmedabad</t>
  </si>
  <si>
    <t>Gujarat</t>
  </si>
  <si>
    <t>Surat</t>
  </si>
  <si>
    <t>Kolkata</t>
  </si>
  <si>
    <t>West Bengal</t>
  </si>
  <si>
    <t>Lucknow</t>
  </si>
  <si>
    <t>Uttar Pradesh</t>
  </si>
  <si>
    <t>Jaipur</t>
  </si>
  <si>
    <t>Rajasthan</t>
  </si>
  <si>
    <t>Bhopal</t>
  </si>
  <si>
    <t>Madhya Pradesh</t>
  </si>
  <si>
    <t>Hyderabad</t>
  </si>
  <si>
    <t>Telangana</t>
  </si>
  <si>
    <t>Thiruvananthapuram</t>
  </si>
  <si>
    <t>Kerala</t>
  </si>
  <si>
    <t>Kochi</t>
  </si>
  <si>
    <t>Chandigarh</t>
  </si>
  <si>
    <t>Haryana</t>
  </si>
  <si>
    <t>Gurugram</t>
  </si>
  <si>
    <t>Patna</t>
  </si>
  <si>
    <t>Bhubaneswar</t>
  </si>
  <si>
    <t>Odisha</t>
  </si>
  <si>
    <t>Guwahati</t>
  </si>
  <si>
    <t>Ranchi</t>
  </si>
  <si>
    <t>Jharkhand</t>
  </si>
  <si>
    <t>Dehradun</t>
  </si>
  <si>
    <t>Uttarakhand</t>
  </si>
  <si>
    <t>Nashik</t>
  </si>
  <si>
    <t>Mysuru</t>
  </si>
  <si>
    <t>Coimbatore</t>
  </si>
  <si>
    <t>Vadodara</t>
  </si>
  <si>
    <t>Ludhiana</t>
  </si>
  <si>
    <t>Punjab</t>
  </si>
  <si>
    <t>Amritsar</t>
  </si>
  <si>
    <t>Visakhapatnam</t>
  </si>
  <si>
    <t>Indore</t>
  </si>
  <si>
    <t>Raipur</t>
  </si>
  <si>
    <t>Thane</t>
  </si>
  <si>
    <t>Noida</t>
  </si>
  <si>
    <t>Ghaziabad</t>
  </si>
  <si>
    <t>Navi Mumbai</t>
  </si>
  <si>
    <t>SBI Kothrud Pune</t>
  </si>
  <si>
    <t>SBI Electronic City</t>
  </si>
  <si>
    <t>SBI HSR Layout</t>
  </si>
  <si>
    <t>SBI Marathahalli</t>
  </si>
  <si>
    <t>SBI Velachery Chennai</t>
  </si>
  <si>
    <t>SBI OMR Chennai</t>
  </si>
  <si>
    <t>SBI Prahlad Nagar</t>
  </si>
  <si>
    <t>SBI Satellite Ahmedabad</t>
  </si>
  <si>
    <t>SBI Park Street Kolkata</t>
  </si>
  <si>
    <t>SBI New Town Kolkata</t>
  </si>
  <si>
    <t>SBI Saket Delhi</t>
  </si>
  <si>
    <t>SBI Rohini Delhi</t>
  </si>
  <si>
    <t>SBI Madhapur Hyderabad</t>
  </si>
  <si>
    <t>SBI Gachibowli</t>
  </si>
  <si>
    <t>SBI Varanasi Main</t>
  </si>
  <si>
    <t>Varanasi</t>
  </si>
  <si>
    <t>SBI Agra Main</t>
  </si>
  <si>
    <t>Agra</t>
  </si>
  <si>
    <t>SBI Kanpur Main</t>
  </si>
  <si>
    <t>Kanpur</t>
  </si>
  <si>
    <t>SBI Prayagraj Main</t>
  </si>
  <si>
    <t>Prayagraj</t>
  </si>
  <si>
    <t>SBI Jodhpur Main</t>
  </si>
  <si>
    <t>Jodhpur</t>
  </si>
  <si>
    <t>SBI Udaipur Main</t>
  </si>
  <si>
    <t>Udaipur</t>
  </si>
  <si>
    <t>SBI Kota Main</t>
  </si>
  <si>
    <t>Kota</t>
  </si>
  <si>
    <t>SBI Jabalpur Main</t>
  </si>
  <si>
    <t>Jabalpur</t>
  </si>
  <si>
    <t>SBI Gwalior Main</t>
  </si>
  <si>
    <t>Gwalior</t>
  </si>
  <si>
    <t>SBI Hubli Main</t>
  </si>
  <si>
    <t>Hubli</t>
  </si>
  <si>
    <t>SBI Mangaluru Main</t>
  </si>
  <si>
    <t>Mangaluru</t>
  </si>
  <si>
    <t>SBI Madurai Main</t>
  </si>
  <si>
    <t>Madurai</t>
  </si>
  <si>
    <t>SBI Salem Main</t>
  </si>
  <si>
    <t>Salem</t>
  </si>
  <si>
    <t>SBI Rajkot Main</t>
  </si>
  <si>
    <t>Rajkot</t>
  </si>
  <si>
    <t>SBI Jamnagar Main</t>
  </si>
  <si>
    <t>Jamnagar</t>
  </si>
  <si>
    <t>SBI Siliguri Main</t>
  </si>
  <si>
    <t>Siliguri</t>
  </si>
  <si>
    <t>SBI Howrah Main</t>
  </si>
  <si>
    <t>Howrah</t>
  </si>
  <si>
    <t>SBI Durgapur Main</t>
  </si>
  <si>
    <t>Durgapur</t>
  </si>
  <si>
    <t>SBI Jalandhar Main</t>
  </si>
  <si>
    <t>Jalandhar</t>
  </si>
  <si>
    <t>SBI Patiala Main</t>
  </si>
  <si>
    <t>Patiala</t>
  </si>
  <si>
    <t>SBI Dhanbad Main</t>
  </si>
  <si>
    <t>Dhanbad</t>
  </si>
  <si>
    <t>SBI Jamshedpur Main</t>
  </si>
  <si>
    <t>Jamshedpur</t>
  </si>
  <si>
    <t>SBI Kozhikode Main</t>
  </si>
  <si>
    <t>Kozhikode</t>
  </si>
  <si>
    <t>SBI Thrissur Main</t>
  </si>
  <si>
    <t>Thrissur</t>
  </si>
  <si>
    <t>SBI Srinagar Main</t>
  </si>
  <si>
    <t>Srinagar</t>
  </si>
  <si>
    <t>Jammu and Kashmir</t>
  </si>
  <si>
    <t>SBI Jammu Main</t>
  </si>
  <si>
    <t>SBI Panaji Main</t>
  </si>
  <si>
    <t>Panaji</t>
  </si>
  <si>
    <t>Goa</t>
  </si>
  <si>
    <t>SBI Shimla Main</t>
  </si>
  <si>
    <t>Shimla</t>
  </si>
  <si>
    <t>Himachal Pradesh</t>
  </si>
  <si>
    <t>SBI Haridwar Main</t>
  </si>
  <si>
    <t>Haridwar</t>
  </si>
  <si>
    <t>SBI Rishikesh</t>
  </si>
  <si>
    <t>SBI Imphal Main</t>
  </si>
  <si>
    <t>Imphal</t>
  </si>
  <si>
    <t>Manipur</t>
  </si>
  <si>
    <t>SBI Shillong Main</t>
  </si>
  <si>
    <t>Shillong</t>
  </si>
  <si>
    <t>Meghalaya</t>
  </si>
  <si>
    <t>SBI Agartala Main</t>
  </si>
  <si>
    <t>Agartala</t>
  </si>
  <si>
    <t>Tripura</t>
  </si>
  <si>
    <t>SBI Aizawl Main</t>
  </si>
  <si>
    <t>Aizawl</t>
  </si>
  <si>
    <t>Mizoram</t>
  </si>
  <si>
    <t>SBI Kohima Main</t>
  </si>
  <si>
    <t>Kohima</t>
  </si>
  <si>
    <t>Nagaland</t>
  </si>
  <si>
    <t>SBI Itanagar Main</t>
  </si>
  <si>
    <t>Itanagar</t>
  </si>
  <si>
    <t>SBI Gangtok Main</t>
  </si>
  <si>
    <t>Gangtok</t>
  </si>
  <si>
    <t>Sikkim</t>
  </si>
  <si>
    <t>SBI Dibrugarh Main</t>
  </si>
  <si>
    <t>Dibrugarh</t>
  </si>
  <si>
    <t>SBI Silchar Main</t>
  </si>
  <si>
    <t>Silchar</t>
  </si>
  <si>
    <t>SBI Lower Parel Mumbai</t>
  </si>
  <si>
    <t>SBI Worli Mumbai</t>
  </si>
  <si>
    <t>SBI Churchgate Mumbai</t>
  </si>
  <si>
    <t>SBI Dadar Mumbai</t>
  </si>
  <si>
    <t>SBI Vikhroli Mumbai</t>
  </si>
  <si>
    <t>SBI Mulund Mumbai</t>
  </si>
  <si>
    <t>SBI Kandivali Mumbai</t>
  </si>
  <si>
    <t>SBI Goregaon Mumbai</t>
  </si>
  <si>
    <t>SBI Versova Mumbai</t>
  </si>
  <si>
    <t>SBI Santacruz Mumbai</t>
  </si>
  <si>
    <t>SBI Juhu Mumbai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</si>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</sst>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599993896298105"/>
          <bgColor theme="4" tint="0.599993896298105"/>
        </patternFill>
      </fill>
    </dxf>
    <dxf>
      <fill>
        <patternFill patternType="solid">
          <fgColor theme="4" tint="0.599993896298105"/>
          <bgColor theme="4" tint="0.599993896298105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ck">
          <color theme="0"/>
        </top>
        <vertical/>
        <horizontal/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TableStylePreset4_Accent1" pivot="0" count="7" xr9:uid="{E80031A0-62FC-435E-9621-CFD856E535BA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colors>
    <mruColors>
      <color rgb="00A3CBEF"/>
      <color rgb="00FFFFFF"/>
      <color rgb="0042D7FF"/>
      <color rgb="0079D1F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2.xml"/><Relationship Id="rId8" Type="http://schemas.openxmlformats.org/officeDocument/2006/relationships/externalLink" Target="externalLinks/externalLink1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3.xml"/><Relationship Id="rId3" Type="http://schemas.openxmlformats.org/officeDocument/2006/relationships/pivotCacheDefinition" Target="pivotCache/pivotCacheDefinition2.xml"/><Relationship Id="rId2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[DASHBOARD.xlsx]Sheet1!PivotTable12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  Top 10 Branches by Deposits</a:t>
            </a:r>
          </a:p>
        </c:rich>
      </c:tx>
      <c:layout>
        <c:manualLayout>
          <c:xMode val="edge"/>
          <c:yMode val="edge"/>
          <c:x val="0.299036740260847"/>
          <c:y val="0.043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Sheet1!$B$48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Sheet1!$A$49:$A$55</c:f>
              <c:strCache>
                <c:ptCount val="6"/>
                <c:pt idx="0">
                  <c:v>SBI Bhubaneswar Main</c:v>
                </c:pt>
                <c:pt idx="1">
                  <c:v>SBI BKC Mumbai</c:v>
                </c:pt>
                <c:pt idx="2">
                  <c:v>SBI Borivali Mumbai</c:v>
                </c:pt>
                <c:pt idx="3">
                  <c:v>SBI CG Road Ahmedabad</c:v>
                </c:pt>
                <c:pt idx="4">
                  <c:v>SBI Chandigarh Main</c:v>
                </c:pt>
                <c:pt idx="5">
                  <c:v>SBI Chembur Mumbai</c:v>
                </c:pt>
              </c:strCache>
            </c:strRef>
          </c:cat>
          <c:val>
            <c:numRef>
              <c:f>Sheet1!$B$49:$B$55</c:f>
              <c:numCache>
                <c:formatCode>General</c:formatCode>
                <c:ptCount val="6"/>
                <c:pt idx="0">
                  <c:v>158000</c:v>
                </c:pt>
                <c:pt idx="1">
                  <c:v>102000</c:v>
                </c:pt>
                <c:pt idx="2">
                  <c:v>9000000</c:v>
                </c:pt>
                <c:pt idx="3">
                  <c:v>585000</c:v>
                </c:pt>
                <c:pt idx="4">
                  <c:v>125000</c:v>
                </c:pt>
                <c:pt idx="5">
                  <c:v>398000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501260196"/>
        <c:axId val="829923529"/>
      </c:barChart>
      <c:catAx>
        <c:axId val="50126019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9923529"/>
        <c:crosses val="autoZero"/>
        <c:auto val="1"/>
        <c:lblAlgn val="ctr"/>
        <c:lblOffset val="100"/>
        <c:noMultiLvlLbl val="0"/>
      </c:catAx>
      <c:valAx>
        <c:axId val="82992352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12601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957fb18-3576-4830-a943-57545ffa6bdc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[DASHBOARD.xlsx]Sheet1!PivotTable13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Deposits by Region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Sheet1!$B$69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Sheet1!$A$70:$A$76</c:f>
              <c:strCache>
                <c:ptCount val="6"/>
                <c:pt idx="0">
                  <c:v>Central Region</c:v>
                </c:pt>
                <c:pt idx="1">
                  <c:v>Eastern Region</c:v>
                </c:pt>
                <c:pt idx="2">
                  <c:v>North-Eastern Region</c:v>
                </c:pt>
                <c:pt idx="3">
                  <c:v>Northern Region</c:v>
                </c:pt>
                <c:pt idx="4">
                  <c:v>Southern Region</c:v>
                </c:pt>
                <c:pt idx="5">
                  <c:v>Western Region</c:v>
                </c:pt>
              </c:strCache>
            </c:strRef>
          </c:cat>
          <c:val>
            <c:numRef>
              <c:f>Sheet1!$B$70:$B$76</c:f>
              <c:numCache>
                <c:formatCode>General</c:formatCode>
                <c:ptCount val="6"/>
                <c:pt idx="0">
                  <c:v>1066000</c:v>
                </c:pt>
                <c:pt idx="1">
                  <c:v>10700500</c:v>
                </c:pt>
                <c:pt idx="2">
                  <c:v>3744500</c:v>
                </c:pt>
                <c:pt idx="3">
                  <c:v>12680500.5</c:v>
                </c:pt>
                <c:pt idx="4">
                  <c:v>23667700.75</c:v>
                </c:pt>
                <c:pt idx="5">
                  <c:v>25793251.25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381367658"/>
        <c:axId val="161389923"/>
      </c:barChart>
      <c:catAx>
        <c:axId val="38136765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1389923"/>
        <c:crosses val="autoZero"/>
        <c:auto val="1"/>
        <c:lblAlgn val="ctr"/>
        <c:lblOffset val="100"/>
        <c:noMultiLvlLbl val="0"/>
      </c:catAx>
      <c:valAx>
        <c:axId val="1613899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136765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2064e5a-47e6-4f50-8bae-8dc16d409ab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2000"/>
              <a:t>Credit Utilization </a:t>
            </a:r>
            <a:endParaRPr sz="20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>
                <c:manualLayout>
                  <c:x val="0.144456758758662"/>
                  <c:y val="-0.07046442461679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200657894736842"/>
                  <c:y val="0.011896591169068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Sheet1!$G$82:$H$82</c:f>
              <c:strCache>
                <c:ptCount val="2"/>
                <c:pt idx="0">
                  <c:v>Utilized Credits</c:v>
                </c:pt>
                <c:pt idx="1">
                  <c:v>Available Credits</c:v>
                </c:pt>
              </c:strCache>
            </c:strRef>
          </c:cat>
          <c:val>
            <c:numRef>
              <c:f>Sheet1!$G$83:$H$83</c:f>
              <c:numCache>
                <c:formatCode>General</c:formatCode>
                <c:ptCount val="2"/>
                <c:pt idx="0">
                  <c:v>2999000</c:v>
                </c:pt>
                <c:pt idx="1">
                  <c:v>23517000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39f541d-ac89-4e43-acb3-ebf0b677a7a4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[DASHBOARD.xlsx]Sheet1!PivotTable15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Insurance Premium by State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Sheet1!$H$92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528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Sheet1!$G$93:$G$99</c:f>
              <c:strCache>
                <c:ptCount val="6"/>
                <c:pt idx="0">
                  <c:v>Andhra Pradesh</c:v>
                </c:pt>
                <c:pt idx="1">
                  <c:v>Arunachal Pradesh</c:v>
                </c:pt>
                <c:pt idx="2">
                  <c:v>Assam</c:v>
                </c:pt>
                <c:pt idx="3">
                  <c:v>Bihar</c:v>
                </c:pt>
                <c:pt idx="4">
                  <c:v>Chhattisgarh</c:v>
                </c:pt>
                <c:pt idx="5">
                  <c:v>Delhi</c:v>
                </c:pt>
              </c:strCache>
            </c:strRef>
          </c:cat>
          <c:val>
            <c:numRef>
              <c:f>Sheet1!$H$93:$H$99</c:f>
              <c:numCache>
                <c:formatCode>General</c:formatCode>
                <c:ptCount val="6"/>
                <c:pt idx="0">
                  <c:v>6200</c:v>
                </c:pt>
                <c:pt idx="1">
                  <c:v>26000</c:v>
                </c:pt>
                <c:pt idx="2">
                  <c:v>86000</c:v>
                </c:pt>
                <c:pt idx="3">
                  <c:v>12000</c:v>
                </c:pt>
                <c:pt idx="4">
                  <c:v>4200</c:v>
                </c:pt>
                <c:pt idx="5">
                  <c:v>30000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</c:dLbls>
        <c:gapWidth val="500"/>
        <c:overlap val="-50"/>
        <c:axId val="986417438"/>
        <c:axId val="674818688"/>
      </c:barChart>
      <c:catAx>
        <c:axId val="98641743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4818688"/>
        <c:crosses val="autoZero"/>
        <c:auto val="1"/>
        <c:lblAlgn val="ctr"/>
        <c:lblOffset val="100"/>
        <c:noMultiLvlLbl val="0"/>
      </c:catAx>
      <c:valAx>
        <c:axId val="67481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641743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c759e3c-4671-4433-80d2-034ec94db19f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[DASHBOARD.xlsx]Sheet1!PivotTable16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FD distribution by region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Sheet1!$B$102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Sheet1!$A$103:$A$109</c:f>
              <c:strCache>
                <c:ptCount val="6"/>
                <c:pt idx="0">
                  <c:v>Central Region</c:v>
                </c:pt>
                <c:pt idx="1">
                  <c:v>Eastern Region</c:v>
                </c:pt>
                <c:pt idx="2">
                  <c:v>North-Eastern Region</c:v>
                </c:pt>
                <c:pt idx="3">
                  <c:v>Northern Region</c:v>
                </c:pt>
                <c:pt idx="4">
                  <c:v>Southern Region</c:v>
                </c:pt>
                <c:pt idx="5">
                  <c:v>Western Region</c:v>
                </c:pt>
              </c:strCache>
            </c:strRef>
          </c:cat>
          <c:val>
            <c:numRef>
              <c:f>Sheet1!$B$103:$B$109</c:f>
              <c:numCache>
                <c:formatCode>General</c:formatCode>
                <c:ptCount val="6"/>
                <c:pt idx="0">
                  <c:v>1620000</c:v>
                </c:pt>
                <c:pt idx="1">
                  <c:v>13755000</c:v>
                </c:pt>
                <c:pt idx="2">
                  <c:v>9280000</c:v>
                </c:pt>
                <c:pt idx="3">
                  <c:v>13690000</c:v>
                </c:pt>
                <c:pt idx="4">
                  <c:v>18135000</c:v>
                </c:pt>
                <c:pt idx="5">
                  <c:v>19400000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8948a48-de91-4827-80f4-5b68a125207f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/>
      <cx:numDim type="size"/>
    </cx:data>
    <cx:data id="1">
      <cx:strDim type="cat"/>
      <cx:numDim type="size"/>
    </cx:data>
    <cx:data id="2">
      <cx:strDim type="cat"/>
      <cx:numDim type="size"/>
    </cx:data>
    <cx:data id="3">
      <cx:strDim type="cat"/>
      <cx:numDim type="size"/>
    </cx:data>
    <cx:data id="4">
      <cx:strDim type="cat"/>
      <cx:numDim type="size"/>
    </cx:data>
  </cx:chartData>
  <cx:chart>
    <cx:title pos="t" align="ctr" overlay="0">
      <cx:tx>
        <cx:txData>
          <cx:v>Loan Outstanding by Type </cx:v>
        </cx:txData>
      </cx:tx>
      <cx:txPr>
        <a:bodyPr rot="0" spcFirstLastPara="0" vertOverflow="ellipsis" vert="horz" wrap="square" anchor="ctr" anchorCtr="1"/>
        <a:lstStyle/>
        <a:p>
          <a:pPr>
            <a:defRPr lang="en-US" sz="1600" b="1" spc="10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r>
            <a:rPr/>
            <a:t>Loan Outstanding by Type </a:t>
          </a:r>
        </a:p>
      </cx:txPr>
    </cx:title>
    <cx:plotArea>
      <cx:plotAreaRegion>
        <cx:series layoutId="treemap" uniqueId="{e2b38491-c93b-4e7b-b277-32fe5907e19c}" formatIdx="0">
          <cx:tx>
            <cx:txData>
              <cx:f>_xlchart.v1.0</cx:f>
              <cx:v>TotalLoans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  <cx:series layoutId="treemap" uniqueId="{9fcefbd8-23d4-4d59-9682-f046e5b55379}" formatIdx="1">
          <cx:tx>
            <cx:txData>
              <cx:f>_xlchart.v1.1</cx:f>
              <cx:v>PrincipalAmount</cx:v>
            </cx:txData>
          </cx:tx>
          <cx:dataLabels pos="inEnd">
            <cx:visibility seriesName="0" categoryName="1" value="0"/>
          </cx:dataLabels>
          <cx:dataId val="1"/>
          <cx:layoutPr>
            <cx:parentLabelLayout val="overlapping"/>
          </cx:layoutPr>
        </cx:series>
        <cx:series layoutId="treemap" uniqueId="{35db9c9f-f44c-4ef2-b2e3-0cdb63447428}" formatIdx="2">
          <cx:tx>
            <cx:txData>
              <cx:f>_xlchart.v1.2</cx:f>
              <cx:v>OutstandingAmount</cx:v>
            </cx:txData>
          </cx:tx>
          <cx:dataLabels pos="inEnd">
            <cx:visibility seriesName="0" categoryName="1" value="0"/>
          </cx:dataLabels>
          <cx:dataId val="2"/>
          <cx:layoutPr>
            <cx:parentLabelLayout val="overlapping"/>
          </cx:layoutPr>
        </cx:series>
        <cx:series layoutId="treemap" uniqueId="{3871bcde-9a90-4541-ac0d-1d2766d2f0a5}" formatIdx="3">
          <cx:tx>
            <cx:txData>
              <cx:f>_xlchart.v1.3</cx:f>
              <cx:v>AvgInterest</cx:v>
            </cx:txData>
          </cx:tx>
          <cx:dataLabels pos="inEnd">
            <cx:visibility seriesName="0" categoryName="1" value="0"/>
          </cx:dataLabels>
          <cx:dataId val="3"/>
          <cx:layoutPr>
            <cx:parentLabelLayout val="overlapping"/>
          </cx:layoutPr>
        </cx:series>
        <cx:series layoutId="treemap" uniqueId="{d706e8ea-68aa-4e2b-bf3f-579f87f9f864}" formatIdx="4">
          <cx:tx>
            <cx:txData>
              <cx:f>_xlchart.v1.4</cx:f>
              <cx:v>AvgEMI</cx:v>
            </cx:txData>
          </cx:tx>
          <cx:dataLabels pos="inEnd">
            <cx:visibility seriesName="0" categoryName="1" value="0"/>
          </cx:dataLabels>
          <cx:dataId val="4"/>
          <cx:layoutPr>
            <cx:parentLabelLayout val="overlapping"/>
          </cx:layoutPr>
        </cx:series>
      </cx:plotAreaRegion>
    </cx:plotArea>
  </cx:chart>
  <cx:txPr>
    <a:bodyPr/>
    <a:lstStyle/>
    <a:p>
      <a:pPr>
        <a:defRPr lang="en-US"/>
      </a:pPr>
      <a:endParaRPr lang="en-US"/>
    </a:p>
  </cx:txPr>
  <cx:printSettings>
    <cx:headerFooter/>
    <cx:pageMargins b="0.75" l="0.7" r="0.7" t="0.75" header="0.3" footer="0.3"/>
    <cx:pageSetup/>
  </cx:printSettings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/>
      <cx:numDim type="size"/>
    </cx:data>
    <cx:data id="1">
      <cx:strDim type="cat"/>
      <cx:numDim type="size"/>
    </cx:data>
    <cx:data id="2">
      <cx:strDim type="cat"/>
      <cx:numDim type="size"/>
    </cx:data>
    <cx:data id="3">
      <cx:strDim type="cat"/>
      <cx:numDim type="size"/>
    </cx:data>
    <cx:data id="4">
      <cx:strDim type="cat"/>
      <cx:numDim type="size"/>
    </cx:data>
  </cx:chartData>
  <cx:chart>
    <cx:title pos="t" align="ctr" overlay="0">
      <cx:tx>
        <cx:txData>
          <cx:v>Loan Distribution by Type</cx:v>
        </cx:txData>
      </cx:tx>
      <cx:txPr>
        <a:bodyPr rot="0" spcFirstLastPara="0" vertOverflow="ellipsis" vert="horz" wrap="square" anchor="ctr" anchorCtr="1"/>
        <a:lstStyle/>
        <a:p>
          <a:pPr>
            <a:defRPr lang="en-US" sz="1600" b="1" spc="10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r>
            <a:rPr/>
            <a:t>Loan Distribution by Type</a:t>
          </a:r>
        </a:p>
      </cx:txPr>
    </cx:title>
    <cx:plotArea>
      <cx:plotAreaRegion>
        <cx:series layoutId="treemap" uniqueId="{cac3a477-916c-4a39-989a-bd3a59974c02}" formatIdx="0">
          <cx:tx>
            <cx:txData>
              <cx:f>_xlchart.v1.5</cx:f>
              <cx:v>TotalLoans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  <cx:series layoutId="treemap" uniqueId="{a9bc2025-8c8e-4ab8-aec9-c7f835cb70bc}" formatIdx="1">
          <cx:tx>
            <cx:txData>
              <cx:f>_xlchart.v1.6</cx:f>
              <cx:v>PrincipalAmount</cx:v>
            </cx:txData>
          </cx:tx>
          <cx:dataLabels pos="inEnd">
            <cx:visibility seriesName="0" categoryName="1" value="0"/>
          </cx:dataLabels>
          <cx:dataId val="1"/>
          <cx:layoutPr>
            <cx:parentLabelLayout val="overlapping"/>
          </cx:layoutPr>
        </cx:series>
        <cx:series layoutId="treemap" uniqueId="{594e0c13-0cc9-4a48-95e1-5cf43144d2b1}" formatIdx="2">
          <cx:tx>
            <cx:txData>
              <cx:f>_xlchart.v1.7</cx:f>
              <cx:v>OutstandingAmount</cx:v>
            </cx:txData>
          </cx:tx>
          <cx:dataLabels pos="inEnd">
            <cx:visibility seriesName="0" categoryName="1" value="0"/>
          </cx:dataLabels>
          <cx:dataId val="2"/>
          <cx:layoutPr>
            <cx:parentLabelLayout val="overlapping"/>
          </cx:layoutPr>
        </cx:series>
        <cx:series layoutId="treemap" uniqueId="{8dfc231e-5f88-4918-ae1a-2b5bca8af7fd}" formatIdx="3">
          <cx:tx>
            <cx:txData>
              <cx:f>_xlchart.v1.8</cx:f>
              <cx:v>AvgInterest</cx:v>
            </cx:txData>
          </cx:tx>
          <cx:dataLabels pos="inEnd">
            <cx:visibility seriesName="0" categoryName="1" value="0"/>
          </cx:dataLabels>
          <cx:dataId val="3"/>
          <cx:layoutPr>
            <cx:parentLabelLayout val="overlapping"/>
          </cx:layoutPr>
        </cx:series>
        <cx:series layoutId="treemap" uniqueId="{f5791e7c-055f-45c1-ab9b-0a1796dc01fa}" formatIdx="4">
          <cx:tx>
            <cx:txData>
              <cx:f>_xlchart.v1.9</cx:f>
              <cx:v>AvgEMI</cx:v>
            </cx:txData>
          </cx:tx>
          <cx:dataLabels pos="inEnd">
            <cx:visibility seriesName="0" categoryName="1" value="0"/>
          </cx:dataLabels>
          <cx:dataId val="4"/>
          <cx:layoutPr>
            <cx:parentLabelLayout val="overlapping"/>
          </cx:layoutPr>
        </cx:series>
      </cx:plotAreaRegion>
    </cx:plotArea>
  </cx:chart>
  <cx:txPr>
    <a:bodyPr/>
    <a:lstStyle/>
    <a:p>
      <a:pPr>
        <a:defRPr lang="en-US"/>
      </a:pPr>
      <a:endParaRPr lang="en-US"/>
    </a:p>
  </cx:txPr>
  <cx:printSettings>
    <cx:headerFooter/>
    <cx:pageMargins b="0.75" l="0.7" r="0.7" t="0.75" header="0.3" footer="0.3"/>
    <cx:pageSetup/>
  </cx:printSettings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/>
      <cx:numDim type="size"/>
    </cx:data>
    <cx:data id="1">
      <cx:strDim type="cat"/>
      <cx:numDim type="size"/>
    </cx:data>
    <cx:data id="2">
      <cx:strDim type="cat"/>
      <cx:numDim type="size"/>
    </cx:data>
    <cx:data id="3">
      <cx:strDim type="cat"/>
      <cx:numDim type="size"/>
    </cx:data>
    <cx:data id="4">
      <cx:strDim type="cat"/>
      <cx:numDim type="size"/>
    </cx:data>
  </cx:chartData>
  <cx:chart>
    <cx:title pos="t" align="ctr" overlay="0">
      <cx:tx>
        <cx:txData>
          <cx:v>Loan Outstanding by Type</cx:v>
        </cx:txData>
      </cx:tx>
      <cx:txPr>
        <a:bodyPr rot="0" spcFirstLastPara="0" vertOverflow="ellipsis" vert="horz" wrap="square" anchor="ctr" anchorCtr="1"/>
        <a:lstStyle/>
        <a:p>
          <a:pPr>
            <a:defRPr lang="en-US" sz="1600" b="1" spc="10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r>
            <a:rPr/>
            <a:t>Loan Outstanding by Type</a:t>
          </a:r>
        </a:p>
      </cx:txPr>
    </cx:title>
    <cx:plotArea>
      <cx:plotAreaRegion>
        <cx:series layoutId="treemap" uniqueId="{fc5ac2f3-4cf4-4d14-9500-789ac7a88524}" formatIdx="0">
          <cx:tx>
            <cx:txData>
              <cx:f>_xlchart.v1.10</cx:f>
              <cx:v>TotalLoans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  <cx:series layoutId="treemap" uniqueId="{d1b91965-9011-4252-bf26-d2c5ed48c505}" formatIdx="1">
          <cx:tx>
            <cx:txData>
              <cx:f>_xlchart.v1.11</cx:f>
              <cx:v>PrincipalAmount</cx:v>
            </cx:txData>
          </cx:tx>
          <cx:dataLabels pos="inEnd">
            <cx:visibility seriesName="0" categoryName="1" value="0"/>
          </cx:dataLabels>
          <cx:dataId val="1"/>
          <cx:layoutPr>
            <cx:parentLabelLayout val="overlapping"/>
          </cx:layoutPr>
        </cx:series>
        <cx:series layoutId="treemap" uniqueId="{3617e466-ff80-47e3-bae0-e5aba38963d4}" formatIdx="2">
          <cx:tx>
            <cx:txData>
              <cx:f>_xlchart.v1.12</cx:f>
              <cx:v>OutstandingAmount</cx:v>
            </cx:txData>
          </cx:tx>
          <cx:dataLabels pos="inEnd">
            <cx:visibility seriesName="0" categoryName="1" value="0"/>
          </cx:dataLabels>
          <cx:dataId val="2"/>
          <cx:layoutPr>
            <cx:parentLabelLayout val="overlapping"/>
          </cx:layoutPr>
        </cx:series>
        <cx:series layoutId="treemap" uniqueId="{7aeaa826-dab3-4cfa-81d1-e71a03473d58}" formatIdx="3">
          <cx:tx>
            <cx:txData>
              <cx:f>_xlchart.v1.13</cx:f>
              <cx:v>AvgInterest</cx:v>
            </cx:txData>
          </cx:tx>
          <cx:dataLabels pos="inEnd">
            <cx:visibility seriesName="0" categoryName="1" value="0"/>
          </cx:dataLabels>
          <cx:dataId val="3"/>
          <cx:layoutPr>
            <cx:parentLabelLayout val="overlapping"/>
          </cx:layoutPr>
        </cx:series>
        <cx:series layoutId="treemap" uniqueId="{76eaf9c3-d8b5-482e-91e6-3bc82242be61}" formatIdx="4">
          <cx:tx>
            <cx:txData>
              <cx:f>_xlchart.v1.14</cx:f>
              <cx:v>AvgEMI</cx:v>
            </cx:txData>
          </cx:tx>
          <cx:dataLabels pos="inEnd">
            <cx:visibility seriesName="0" categoryName="1" value="0"/>
          </cx:dataLabels>
          <cx:dataId val="4"/>
          <cx:layoutPr>
            <cx:parentLabelLayout val="overlapping"/>
          </cx:layoutPr>
        </cx:series>
      </cx:plotAreaRegion>
    </cx:plotArea>
  </cx:chart>
  <cx:txPr>
    <a:bodyPr/>
    <a:lstStyle/>
    <a:p>
      <a:pPr>
        <a:defRPr lang="en-US"/>
      </a:pPr>
      <a:endParaRPr lang="en-US"/>
    </a:p>
  </cx:txPr>
  <cx:printSettings>
    <cx:headerFooter/>
    <cx:pageMargins b="0.75" l="0.7" r="0.7" t="0.75" header="0.3" footer="0.3"/>
    <cx:pageSetup/>
  </cx:printSettings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size">
        <cx:f>_xlchart.v1.16</cx:f>
      </cx:numDim>
    </cx:data>
    <cx:data id="1">
      <cx:strDim type="cat">
        <cx:f>_xlchart.v1.18</cx:f>
      </cx:strDim>
      <cx:numDim type="size">
        <cx:f>_xlchart.v1.19</cx:f>
      </cx:numDim>
    </cx:data>
    <cx:data id="2">
      <cx:strDim type="cat">
        <cx:f>_xlchart.v1.21</cx:f>
      </cx:strDim>
      <cx:numDim type="size">
        <cx:f>_xlchart.v1.22</cx:f>
      </cx:numDim>
    </cx:data>
    <cx:data id="3">
      <cx:strDim type="cat">
        <cx:f>_xlchart.v1.24</cx:f>
      </cx:strDim>
      <cx:numDim type="size">
        <cx:f>_xlchart.v1.25</cx:f>
      </cx:numDim>
    </cx:data>
    <cx:data id="4">
      <cx:strDim type="cat">
        <cx:f>_xlchart.v1.27</cx:f>
      </cx:strDim>
      <cx:numDim type="size">
        <cx:f>_xlchart.v1.28</cx:f>
      </cx:numDim>
    </cx:data>
  </cx:chartData>
  <cx:chart>
    <cx:title pos="t" align="ctr" overlay="0">
      <cx:tx>
        <cx:txData>
          <cx:v>Loan outstanding by Type</cx:v>
        </cx:txData>
      </cx:tx>
      <cx:txPr>
        <a:bodyPr rot="0" spcFirstLastPara="0" vertOverflow="ellipsis" vert="horz" wrap="square" anchor="ctr" anchorCtr="1"/>
        <a:lstStyle/>
        <a:p>
          <a:pPr>
            <a:defRPr lang="en-US" sz="1600" b="1" spc="10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r>
            <a:rPr/>
            <a:t>Loan outstanding by Type</a:t>
          </a:r>
        </a:p>
      </cx:txPr>
    </cx:title>
    <cx:plotArea>
      <cx:plotAreaRegion>
        <cx:series layoutId="treemap" uniqueId="{0f428e28-1c1f-46e5-900c-7e5fc5c21f28}" formatIdx="0">
          <cx:tx>
            <cx:txData>
              <cx:f>_xlchart.v1.17</cx:f>
              <cx:v>TotalLoans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  <cx:series layoutId="treemap" uniqueId="{da87c0b4-3b5b-465b-a3a8-394067d92e4e}" formatIdx="1">
          <cx:tx>
            <cx:txData>
              <cx:f>_xlchart.v1.20</cx:f>
              <cx:v>PrincipalAmount</cx:v>
            </cx:txData>
          </cx:tx>
          <cx:dataLabels pos="inEnd">
            <cx:visibility seriesName="0" categoryName="1" value="0"/>
          </cx:dataLabels>
          <cx:dataId val="1"/>
          <cx:layoutPr>
            <cx:parentLabelLayout val="overlapping"/>
          </cx:layoutPr>
        </cx:series>
        <cx:series layoutId="treemap" uniqueId="{13636634-3a3b-4b29-b5cf-d1b32a91fc46}" formatIdx="2">
          <cx:tx>
            <cx:txData>
              <cx:f>_xlchart.v1.23</cx:f>
              <cx:v>OutstandingAmount</cx:v>
            </cx:txData>
          </cx:tx>
          <cx:dataLabels pos="inEnd">
            <cx:visibility seriesName="0" categoryName="1" value="0"/>
          </cx:dataLabels>
          <cx:dataId val="2"/>
          <cx:layoutPr>
            <cx:parentLabelLayout val="overlapping"/>
          </cx:layoutPr>
        </cx:series>
        <cx:series layoutId="treemap" uniqueId="{6a47d27b-1433-45a0-acb0-49a1a4554128}" formatIdx="3">
          <cx:tx>
            <cx:txData>
              <cx:f>_xlchart.v1.26</cx:f>
              <cx:v>AvgInterest</cx:v>
            </cx:txData>
          </cx:tx>
          <cx:dataLabels pos="inEnd">
            <cx:visibility seriesName="0" categoryName="1" value="0"/>
          </cx:dataLabels>
          <cx:dataId val="3"/>
          <cx:layoutPr>
            <cx:parentLabelLayout val="overlapping"/>
          </cx:layoutPr>
        </cx:series>
        <cx:series layoutId="treemap" uniqueId="{91068e85-09a5-4f1f-ad23-9d05118b9e8d}" formatIdx="4">
          <cx:tx>
            <cx:txData>
              <cx:f>_xlchart.v1.29</cx:f>
              <cx:v>AvgEMI</cx:v>
            </cx:txData>
          </cx:tx>
          <cx:dataLabels pos="inEnd">
            <cx:visibility seriesName="0" categoryName="1" value="0"/>
          </cx:dataLabels>
          <cx:dataId val="4"/>
          <cx:layoutPr>
            <cx:parentLabelLayout val="overlapping"/>
          </cx:layoutPr>
        </cx:series>
      </cx:plotAreaRegion>
    </cx:plotArea>
  </cx:chart>
  <cx:txPr>
    <a:bodyPr/>
    <a:lstStyle/>
    <a:p>
      <a:pPr>
        <a:defRPr lang="en-US"/>
      </a:pPr>
      <a:endParaRPr lang="en-US"/>
    </a:p>
  </cx:txPr>
  <cx:printSettings>
    <cx:headerFooter/>
    <cx:pageMargins b="0.75" l="0.7" r="0.7" t="0.75" header="0.3" footer="0.3"/>
    <cx:pageSetup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5">
  <cs:axisTitle>
    <cs:lnRef idx="0"/>
    <cs:fillRef idx="0"/>
    <cs:effectRef idx="0"/>
    <cs:fontRef idx="minor">
      <a:schemeClr val="lt1">
        <a:lumMod val="95000"/>
      </a:schemeClr>
    </cs:fontRef>
    <cs:spPr>
      <a:solidFill>
        <a:schemeClr val="bg1">
          <a:lumMod val="65000"/>
        </a:schemeClr>
      </a:solidFill>
      <a:ln>
        <a:solidFill>
          <a:schemeClr val="tx1"/>
        </a:solidFill>
      </a:ln>
    </cs:spPr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lumMod val="102000"/>
              <a:satMod val="103000"/>
              <a:tint val="94000"/>
            </a:schemeClr>
          </a:gs>
          <a:gs pos="50000">
            <a:schemeClr val="phClr">
              <a:lumMod val="100000"/>
              <a:shade val="100000"/>
              <a:satMod val="110000"/>
            </a:schemeClr>
          </a:gs>
          <a:gs pos="100000">
            <a:schemeClr val="phClr">
              <a:lumMod val="99000"/>
              <a:shade val="78000"/>
              <a:satMod val="120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lumOff val="10000"/>
            <a:alpha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11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528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8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15">
  <cs:axisTitle>
    <cs:lnRef idx="0"/>
    <cs:fillRef idx="0"/>
    <cs:effectRef idx="0"/>
    <cs:fontRef idx="minor">
      <a:schemeClr val="lt1">
        <a:lumMod val="95000"/>
      </a:schemeClr>
    </cs:fontRef>
    <cs:spPr>
      <a:solidFill>
        <a:schemeClr val="bg1">
          <a:lumMod val="65000"/>
        </a:schemeClr>
      </a:solidFill>
      <a:ln>
        <a:solidFill>
          <a:schemeClr val="tx1"/>
        </a:solidFill>
      </a:ln>
    </cs:spPr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lumMod val="102000"/>
              <a:satMod val="103000"/>
              <a:tint val="94000"/>
            </a:schemeClr>
          </a:gs>
          <a:gs pos="50000">
            <a:schemeClr val="phClr">
              <a:lumMod val="100000"/>
              <a:shade val="100000"/>
              <a:satMod val="110000"/>
            </a:schemeClr>
          </a:gs>
          <a:gs pos="100000">
            <a:schemeClr val="phClr">
              <a:lumMod val="99000"/>
              <a:shade val="78000"/>
              <a:satMod val="120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lumOff val="10000"/>
            <a:alpha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15">
  <cs:axisTitle>
    <cs:lnRef idx="0"/>
    <cs:fillRef idx="0"/>
    <cs:effectRef idx="0"/>
    <cs:fontRef idx="minor">
      <a:schemeClr val="lt1">
        <a:lumMod val="95000"/>
      </a:schemeClr>
    </cs:fontRef>
    <cs:spPr>
      <a:solidFill>
        <a:schemeClr val="bg1">
          <a:lumMod val="65000"/>
        </a:schemeClr>
      </a:solidFill>
      <a:ln>
        <a:solidFill>
          <a:schemeClr val="tx1"/>
        </a:solidFill>
      </a:ln>
    </cs:spPr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lumMod val="102000"/>
              <a:satMod val="103000"/>
              <a:tint val="94000"/>
            </a:schemeClr>
          </a:gs>
          <a:gs pos="50000">
            <a:schemeClr val="phClr">
              <a:lumMod val="100000"/>
              <a:shade val="100000"/>
              <a:satMod val="110000"/>
            </a:schemeClr>
          </a:gs>
          <a:gs pos="100000">
            <a:schemeClr val="phClr">
              <a:lumMod val="99000"/>
              <a:shade val="78000"/>
              <a:satMod val="120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lumOff val="10000"/>
            <a:alpha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15">
  <cs:axisTitle>
    <cs:lnRef idx="0"/>
    <cs:fillRef idx="0"/>
    <cs:effectRef idx="0"/>
    <cs:fontRef idx="minor">
      <a:schemeClr val="lt1">
        <a:lumMod val="95000"/>
      </a:schemeClr>
    </cs:fontRef>
    <cs:spPr>
      <a:solidFill>
        <a:schemeClr val="bg1">
          <a:lumMod val="65000"/>
        </a:schemeClr>
      </a:solidFill>
      <a:ln>
        <a:solidFill>
          <a:schemeClr val="tx1"/>
        </a:solidFill>
      </a:ln>
    </cs:spPr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lumMod val="102000"/>
              <a:satMod val="103000"/>
              <a:tint val="94000"/>
            </a:schemeClr>
          </a:gs>
          <a:gs pos="50000">
            <a:schemeClr val="phClr">
              <a:lumMod val="100000"/>
              <a:shade val="100000"/>
              <a:satMod val="110000"/>
            </a:schemeClr>
          </a:gs>
          <a:gs pos="100000">
            <a:schemeClr val="phClr">
              <a:lumMod val="99000"/>
              <a:shade val="78000"/>
              <a:satMod val="120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lumOff val="10000"/>
            <a:alpha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9" Type="http://schemas.microsoft.com/office/2014/relationships/chartEx" Target="../charts/chartEx4.xml"/><Relationship Id="rId8" Type="http://schemas.microsoft.com/office/2014/relationships/chartEx" Target="../charts/chartEx3.xml"/><Relationship Id="rId7" Type="http://schemas.microsoft.com/office/2014/relationships/chartEx" Target="../charts/chartEx2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6" Type="http://schemas.openxmlformats.org/officeDocument/2006/relationships/image" Target="../media/image7.png"/><Relationship Id="rId15" Type="http://schemas.openxmlformats.org/officeDocument/2006/relationships/image" Target="../media/image6.png"/><Relationship Id="rId14" Type="http://schemas.openxmlformats.org/officeDocument/2006/relationships/image" Target="../media/image5.png"/><Relationship Id="rId13" Type="http://schemas.openxmlformats.org/officeDocument/2006/relationships/image" Target="../media/image4.png"/><Relationship Id="rId12" Type="http://schemas.openxmlformats.org/officeDocument/2006/relationships/image" Target="../media/image3.png"/><Relationship Id="rId11" Type="http://schemas.openxmlformats.org/officeDocument/2006/relationships/image" Target="../media/image2.png"/><Relationship Id="rId10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0</xdr:row>
      <xdr:rowOff>7620</xdr:rowOff>
    </xdr:from>
    <xdr:to>
      <xdr:col>23</xdr:col>
      <xdr:colOff>587375</xdr:colOff>
      <xdr:row>44</xdr:row>
      <xdr:rowOff>2842895</xdr:rowOff>
    </xdr:to>
    <xdr:sp>
      <xdr:nvSpPr>
        <xdr:cNvPr id="2" name="Rectangle 1"/>
        <xdr:cNvSpPr/>
      </xdr:nvSpPr>
      <xdr:spPr>
        <a:xfrm>
          <a:off x="7620" y="7620"/>
          <a:ext cx="18079085" cy="10881995"/>
        </a:xfrm>
        <a:prstGeom prst="rect">
          <a:avLst/>
        </a:prstGeom>
        <a:solidFill>
          <a:schemeClr val="bg2"/>
        </a:solidFill>
        <a:ln>
          <a:solidFill>
            <a:schemeClr val="accent1"/>
          </a:solidFill>
        </a:ln>
        <a:effectLst>
          <a:innerShdw blurRad="63500" dist="50800" dir="13500000">
            <a:prstClr val="black">
              <a:alpha val="50000"/>
            </a:prstClr>
          </a:inn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7620</xdr:colOff>
      <xdr:row>0</xdr:row>
      <xdr:rowOff>14605</xdr:rowOff>
    </xdr:from>
    <xdr:to>
      <xdr:col>23</xdr:col>
      <xdr:colOff>579755</xdr:colOff>
      <xdr:row>6</xdr:row>
      <xdr:rowOff>7620</xdr:rowOff>
    </xdr:to>
    <xdr:sp>
      <xdr:nvSpPr>
        <xdr:cNvPr id="4" name="Rectangle 3"/>
        <xdr:cNvSpPr/>
      </xdr:nvSpPr>
      <xdr:spPr>
        <a:xfrm flipV="1">
          <a:off x="7620" y="14605"/>
          <a:ext cx="18071465" cy="1090295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</xdr:col>
      <xdr:colOff>366395</xdr:colOff>
      <xdr:row>0</xdr:row>
      <xdr:rowOff>91440</xdr:rowOff>
    </xdr:from>
    <xdr:to>
      <xdr:col>10</xdr:col>
      <xdr:colOff>855980</xdr:colOff>
      <xdr:row>3</xdr:row>
      <xdr:rowOff>135890</xdr:rowOff>
    </xdr:to>
    <xdr:sp>
      <xdr:nvSpPr>
        <xdr:cNvPr id="5" name="Text Box 4"/>
        <xdr:cNvSpPr txBox="1"/>
      </xdr:nvSpPr>
      <xdr:spPr>
        <a:xfrm>
          <a:off x="1958975" y="91440"/>
          <a:ext cx="8132445" cy="593090"/>
        </a:xfrm>
        <a:prstGeom prst="rect">
          <a:avLst/>
        </a:prstGeom>
        <a:solidFill>
          <a:srgbClr val="002060"/>
        </a:solidFill>
        <a:ln w="9525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3600">
              <a:solidFill>
                <a:schemeClr val="bg1"/>
              </a:solidFill>
              <a:latin typeface="Franklin Gothic Demi Cond" panose="020B0706030402020204" charset="0"/>
              <a:cs typeface="Franklin Gothic Demi Cond" panose="020B0706030402020204" charset="0"/>
            </a:rPr>
            <a:t>SBI Financial Operations Overview</a:t>
          </a:r>
          <a:r>
            <a:rPr lang="en-US" sz="3600">
              <a:solidFill>
                <a:schemeClr val="bg1"/>
              </a:solidFill>
              <a:latin typeface="Britannic Bold" panose="020B0903060703020204" charset="0"/>
              <a:cs typeface="Britannic Bold" panose="020B0903060703020204" charset="0"/>
            </a:rPr>
            <a:t>                  </a:t>
          </a:r>
          <a:endParaRPr lang="en-US" sz="3600">
            <a:solidFill>
              <a:schemeClr val="bg1"/>
            </a:solidFill>
            <a:latin typeface="Britannic Bold" panose="020B0903060703020204" charset="0"/>
            <a:cs typeface="Britannic Bold" panose="020B0903060703020204" charset="0"/>
          </a:endParaRPr>
        </a:p>
      </xdr:txBody>
    </xdr:sp>
    <xdr:clientData/>
  </xdr:twoCellAnchor>
  <xdr:twoCellAnchor>
    <xdr:from>
      <xdr:col>1</xdr:col>
      <xdr:colOff>435610</xdr:colOff>
      <xdr:row>3</xdr:row>
      <xdr:rowOff>144145</xdr:rowOff>
    </xdr:from>
    <xdr:to>
      <xdr:col>7</xdr:col>
      <xdr:colOff>717550</xdr:colOff>
      <xdr:row>5</xdr:row>
      <xdr:rowOff>105410</xdr:rowOff>
    </xdr:to>
    <xdr:sp>
      <xdr:nvSpPr>
        <xdr:cNvPr id="9" name="Text Box 8"/>
        <xdr:cNvSpPr txBox="1"/>
      </xdr:nvSpPr>
      <xdr:spPr>
        <a:xfrm>
          <a:off x="2028190" y="692785"/>
          <a:ext cx="4869180" cy="327025"/>
        </a:xfrm>
        <a:prstGeom prst="rect">
          <a:avLst/>
        </a:prstGeom>
        <a:solidFill>
          <a:srgbClr val="002060"/>
        </a:solidFill>
        <a:ln w="9525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1800">
              <a:solidFill>
                <a:schemeClr val="bg1"/>
              </a:solidFill>
              <a:latin typeface="Footlight MT Light" panose="0204060206030A020304" charset="0"/>
              <a:cs typeface="Footlight MT Light" panose="0204060206030A020304" charset="0"/>
              <a:sym typeface="+mn-ea"/>
            </a:rPr>
            <a:t>Executive Banking Analytics</a:t>
          </a:r>
          <a:endParaRPr lang="en-US" sz="1800">
            <a:solidFill>
              <a:schemeClr val="bg1"/>
            </a:solidFill>
            <a:latin typeface="Footlight MT Light" panose="0204060206030A020304" charset="0"/>
            <a:cs typeface="Footlight MT Light" panose="0204060206030A020304" charset="0"/>
          </a:endParaRPr>
        </a:p>
        <a:p>
          <a:pPr algn="l"/>
          <a:endParaRPr lang="en-US" sz="1800">
            <a:solidFill>
              <a:schemeClr val="bg1"/>
            </a:solidFill>
            <a:latin typeface="Footlight MT Light" panose="0204060206030A020304" charset="0"/>
            <a:cs typeface="Footlight MT Light" panose="0204060206030A020304" charset="0"/>
          </a:endParaRPr>
        </a:p>
      </xdr:txBody>
    </xdr:sp>
    <xdr:clientData/>
  </xdr:twoCellAnchor>
  <xdr:twoCellAnchor editAs="oneCell">
    <xdr:from>
      <xdr:col>0</xdr:col>
      <xdr:colOff>242570</xdr:colOff>
      <xdr:row>0</xdr:row>
      <xdr:rowOff>45720</xdr:rowOff>
    </xdr:from>
    <xdr:to>
      <xdr:col>0</xdr:col>
      <xdr:colOff>1569085</xdr:colOff>
      <xdr:row>5</xdr:row>
      <xdr:rowOff>122555</xdr:rowOff>
    </xdr:to>
    <xdr:pic>
      <xdr:nvPicPr>
        <xdr:cNvPr id="15" name="Picture 14" descr="sbi_logo-freelogovectors.net_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42570" y="45720"/>
          <a:ext cx="1326515" cy="991235"/>
        </a:xfrm>
        <a:prstGeom prst="rect">
          <a:avLst/>
        </a:prstGeom>
      </xdr:spPr>
    </xdr:pic>
    <xdr:clientData/>
  </xdr:twoCellAnchor>
  <xdr:twoCellAnchor>
    <xdr:from>
      <xdr:col>26</xdr:col>
      <xdr:colOff>532765</xdr:colOff>
      <xdr:row>32</xdr:row>
      <xdr:rowOff>123190</xdr:rowOff>
    </xdr:from>
    <xdr:to>
      <xdr:col>30</xdr:col>
      <xdr:colOff>29845</xdr:colOff>
      <xdr:row>35</xdr:row>
      <xdr:rowOff>177165</xdr:rowOff>
    </xdr:to>
    <xdr:sp>
      <xdr:nvSpPr>
        <xdr:cNvPr id="16" name="Text Box 15"/>
        <xdr:cNvSpPr txBox="1"/>
      </xdr:nvSpPr>
      <xdr:spPr>
        <a:xfrm>
          <a:off x="20333335" y="5975350"/>
          <a:ext cx="2781300" cy="6026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4</xdr:col>
      <xdr:colOff>426085</xdr:colOff>
      <xdr:row>8</xdr:row>
      <xdr:rowOff>147955</xdr:rowOff>
    </xdr:from>
    <xdr:to>
      <xdr:col>6</xdr:col>
      <xdr:colOff>100330</xdr:colOff>
      <xdr:row>13</xdr:row>
      <xdr:rowOff>48260</xdr:rowOff>
    </xdr:to>
    <xdr:sp>
      <xdr:nvSpPr>
        <xdr:cNvPr id="19" name="Text Box 18"/>
        <xdr:cNvSpPr txBox="1"/>
      </xdr:nvSpPr>
      <xdr:spPr>
        <a:xfrm>
          <a:off x="4182745" y="1610995"/>
          <a:ext cx="893445" cy="8147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309880</xdr:colOff>
      <xdr:row>9</xdr:row>
      <xdr:rowOff>179705</xdr:rowOff>
    </xdr:from>
    <xdr:to>
      <xdr:col>2</xdr:col>
      <xdr:colOff>271780</xdr:colOff>
      <xdr:row>12</xdr:row>
      <xdr:rowOff>118745</xdr:rowOff>
    </xdr:to>
    <xdr:sp>
      <xdr:nvSpPr>
        <xdr:cNvPr id="21" name="Text Box 20"/>
        <xdr:cNvSpPr txBox="1"/>
      </xdr:nvSpPr>
      <xdr:spPr>
        <a:xfrm>
          <a:off x="309880" y="1825625"/>
          <a:ext cx="2499360" cy="4876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endParaRPr lang="en-US" sz="1100"/>
        </a:p>
      </xdr:txBody>
    </xdr:sp>
    <xdr:clientData/>
  </xdr:twoCellAnchor>
  <xdr:twoCellAnchor>
    <xdr:from>
      <xdr:col>0</xdr:col>
      <xdr:colOff>132080</xdr:colOff>
      <xdr:row>6</xdr:row>
      <xdr:rowOff>134620</xdr:rowOff>
    </xdr:from>
    <xdr:to>
      <xdr:col>2</xdr:col>
      <xdr:colOff>304165</xdr:colOff>
      <xdr:row>13</xdr:row>
      <xdr:rowOff>159385</xdr:rowOff>
    </xdr:to>
    <xdr:sp>
      <xdr:nvSpPr>
        <xdr:cNvPr id="22" name="Rounded Rectangle 21"/>
        <xdr:cNvSpPr/>
      </xdr:nvSpPr>
      <xdr:spPr>
        <a:xfrm>
          <a:off x="132080" y="1231900"/>
          <a:ext cx="2709545" cy="1304925"/>
        </a:xfrm>
        <a:prstGeom prst="roundRect">
          <a:avLst>
            <a:gd name="adj" fmla="val 11174"/>
          </a:avLst>
        </a:prstGeom>
        <a:solidFill>
          <a:srgbClr val="002060"/>
        </a:solidFill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7620</xdr:colOff>
      <xdr:row>14</xdr:row>
      <xdr:rowOff>86360</xdr:rowOff>
    </xdr:from>
    <xdr:to>
      <xdr:col>23</xdr:col>
      <xdr:colOff>548640</xdr:colOff>
      <xdr:row>44</xdr:row>
      <xdr:rowOff>2825115</xdr:rowOff>
    </xdr:to>
    <xdr:sp>
      <xdr:nvSpPr>
        <xdr:cNvPr id="33" name="Rectangle 32"/>
        <xdr:cNvSpPr/>
      </xdr:nvSpPr>
      <xdr:spPr>
        <a:xfrm>
          <a:off x="7620" y="2646680"/>
          <a:ext cx="18040350" cy="8225155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139065</xdr:colOff>
      <xdr:row>15</xdr:row>
      <xdr:rowOff>10795</xdr:rowOff>
    </xdr:from>
    <xdr:to>
      <xdr:col>1</xdr:col>
      <xdr:colOff>384810</xdr:colOff>
      <xdr:row>26</xdr:row>
      <xdr:rowOff>31750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5" name="Branc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ranc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065" y="2753995"/>
              <a:ext cx="1838325" cy="20326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6</xdr:col>
      <xdr:colOff>1156970</xdr:colOff>
      <xdr:row>15</xdr:row>
      <xdr:rowOff>26670</xdr:rowOff>
    </xdr:from>
    <xdr:to>
      <xdr:col>23</xdr:col>
      <xdr:colOff>385445</xdr:colOff>
      <xdr:row>28</xdr:row>
      <xdr:rowOff>107950</xdr:rowOff>
    </xdr:to>
    <xdr:graphicFrame>
      <xdr:nvGraphicFramePr>
        <xdr:cNvPr id="47" name="Chart 46"/>
        <xdr:cNvGraphicFramePr/>
      </xdr:nvGraphicFramePr>
      <xdr:xfrm>
        <a:off x="6132830" y="2769870"/>
        <a:ext cx="11751945" cy="2458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493395</xdr:colOff>
      <xdr:row>15</xdr:row>
      <xdr:rowOff>12700</xdr:rowOff>
    </xdr:from>
    <xdr:to>
      <xdr:col>4</xdr:col>
      <xdr:colOff>234315</xdr:colOff>
      <xdr:row>26</xdr:row>
      <xdr:rowOff>20320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8" name="region_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_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85975" y="2755900"/>
              <a:ext cx="1905000" cy="2019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168910</xdr:colOff>
      <xdr:row>27</xdr:row>
      <xdr:rowOff>5080</xdr:rowOff>
    </xdr:from>
    <xdr:to>
      <xdr:col>6</xdr:col>
      <xdr:colOff>937260</xdr:colOff>
      <xdr:row>42</xdr:row>
      <xdr:rowOff>9525</xdr:rowOff>
    </xdr:to>
    <xdr:graphicFrame>
      <xdr:nvGraphicFramePr>
        <xdr:cNvPr id="49" name="Chart 48"/>
        <xdr:cNvGraphicFramePr/>
      </xdr:nvGraphicFramePr>
      <xdr:xfrm>
        <a:off x="168910" y="4942840"/>
        <a:ext cx="5744210" cy="27476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111760</xdr:colOff>
      <xdr:row>29</xdr:row>
      <xdr:rowOff>72390</xdr:rowOff>
    </xdr:from>
    <xdr:to>
      <xdr:col>17</xdr:col>
      <xdr:colOff>510540</xdr:colOff>
      <xdr:row>42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>
          <xdr:nvGraphicFramePr>
            <xdr:cNvPr id="52" name="Chart 51"/>
            <xdr:cNvGraphicFramePr/>
          </xdr:nvGraphicFramePr>
          <xdr:xfrm>
            <a:off x="10295890" y="5375910"/>
            <a:ext cx="4056380" cy="230886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95890" y="5375910"/>
              <a:ext cx="4056380" cy="23088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chart is not available in the current version.
Editing this shape or converting this workbook to a different file format will permanently break the chart.
Download the latest version of WPS to use.</a:t>
              </a:r>
            </a:p>
          </xdr:txBody>
        </xdr:sp>
      </mc:Fallback>
    </mc:AlternateContent>
    <xdr:clientData/>
  </xdr:twoCellAnchor>
  <xdr:twoCellAnchor>
    <xdr:from>
      <xdr:col>18</xdr:col>
      <xdr:colOff>6985</xdr:colOff>
      <xdr:row>29</xdr:row>
      <xdr:rowOff>94615</xdr:rowOff>
    </xdr:from>
    <xdr:to>
      <xdr:col>23</xdr:col>
      <xdr:colOff>361950</xdr:colOff>
      <xdr:row>42</xdr:row>
      <xdr:rowOff>7620</xdr:rowOff>
    </xdr:to>
    <xdr:graphicFrame>
      <xdr:nvGraphicFramePr>
        <xdr:cNvPr id="54" name="Chart 53"/>
        <xdr:cNvGraphicFramePr/>
      </xdr:nvGraphicFramePr>
      <xdr:xfrm>
        <a:off x="14458315" y="5398135"/>
        <a:ext cx="3402965" cy="22904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259715</xdr:colOff>
      <xdr:row>15</xdr:row>
      <xdr:rowOff>28575</xdr:rowOff>
    </xdr:from>
    <xdr:to>
      <xdr:col>6</xdr:col>
      <xdr:colOff>945515</xdr:colOff>
      <xdr:row>26</xdr:row>
      <xdr:rowOff>37465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5" name="state_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_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16375" y="2771775"/>
              <a:ext cx="1905000" cy="20205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196215</xdr:colOff>
      <xdr:row>42</xdr:row>
      <xdr:rowOff>144145</xdr:rowOff>
    </xdr:from>
    <xdr:to>
      <xdr:col>6</xdr:col>
      <xdr:colOff>928370</xdr:colOff>
      <xdr:row>44</xdr:row>
      <xdr:rowOff>2630170</xdr:rowOff>
    </xdr:to>
    <xdr:graphicFrame>
      <xdr:nvGraphicFramePr>
        <xdr:cNvPr id="56" name="Chart 55"/>
        <xdr:cNvGraphicFramePr/>
      </xdr:nvGraphicFramePr>
      <xdr:xfrm>
        <a:off x="196215" y="7825105"/>
        <a:ext cx="5708015" cy="2851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1184910</xdr:colOff>
      <xdr:row>29</xdr:row>
      <xdr:rowOff>51435</xdr:rowOff>
    </xdr:from>
    <xdr:to>
      <xdr:col>10</xdr:col>
      <xdr:colOff>688975</xdr:colOff>
      <xdr:row>41</xdr:row>
      <xdr:rowOff>183515</xdr:rowOff>
    </xdr:to>
    <xdr:graphicFrame>
      <xdr:nvGraphicFramePr>
        <xdr:cNvPr id="57" name="Chart 56"/>
        <xdr:cNvGraphicFramePr/>
      </xdr:nvGraphicFramePr>
      <xdr:xfrm>
        <a:off x="6160770" y="5354955"/>
        <a:ext cx="3763645" cy="23260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1083945</xdr:colOff>
      <xdr:row>42</xdr:row>
      <xdr:rowOff>181610</xdr:rowOff>
    </xdr:from>
    <xdr:to>
      <xdr:col>23</xdr:col>
      <xdr:colOff>334010</xdr:colOff>
      <xdr:row>44</xdr:row>
      <xdr:rowOff>2630805</xdr:rowOff>
    </xdr:to>
    <xdr:sp>
      <xdr:nvSpPr>
        <xdr:cNvPr id="58" name="Rectangle 57"/>
        <xdr:cNvSpPr/>
      </xdr:nvSpPr>
      <xdr:spPr>
        <a:xfrm>
          <a:off x="6059805" y="7862570"/>
          <a:ext cx="11773535" cy="2814955"/>
        </a:xfrm>
        <a:prstGeom prst="rect">
          <a:avLst/>
        </a:prstGeom>
        <a:solidFill>
          <a:srgbClr val="79D1F4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7</xdr:col>
      <xdr:colOff>18415</xdr:colOff>
      <xdr:row>43</xdr:row>
      <xdr:rowOff>114300</xdr:rowOff>
    </xdr:from>
    <xdr:to>
      <xdr:col>10</xdr:col>
      <xdr:colOff>822960</xdr:colOff>
      <xdr:row>44</xdr:row>
      <xdr:rowOff>564515</xdr:rowOff>
    </xdr:to>
    <xdr:sp>
      <xdr:nvSpPr>
        <xdr:cNvPr id="59" name="Text Box 58"/>
        <xdr:cNvSpPr txBox="1"/>
      </xdr:nvSpPr>
      <xdr:spPr>
        <a:xfrm>
          <a:off x="6198235" y="7978140"/>
          <a:ext cx="3860165" cy="633095"/>
        </a:xfrm>
        <a:prstGeom prst="rect">
          <a:avLst/>
        </a:prstGeom>
      </xdr:spPr>
      <xdr:style>
        <a:lnRef idx="0">
          <a:srgbClr val="FFFFFF"/>
        </a:lnRef>
        <a:fillRef idx="3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3600">
              <a:latin typeface="Franklin Gothic Demi Cond" panose="020B0706030402020204" charset="0"/>
              <a:cs typeface="Franklin Gothic Demi Cond" panose="020B0706030402020204" charset="0"/>
            </a:rPr>
            <a:t>Business Insights</a:t>
          </a:r>
          <a:endParaRPr lang="en-US" sz="3600">
            <a:latin typeface="Franklin Gothic Demi Cond" panose="020B0706030402020204" charset="0"/>
            <a:cs typeface="Franklin Gothic Demi Cond" panose="020B0706030402020204" charset="0"/>
          </a:endParaRPr>
        </a:p>
      </xdr:txBody>
    </xdr:sp>
    <xdr:clientData/>
  </xdr:twoCellAnchor>
  <xdr:twoCellAnchor>
    <xdr:from>
      <xdr:col>7</xdr:col>
      <xdr:colOff>71755</xdr:colOff>
      <xdr:row>44</xdr:row>
      <xdr:rowOff>1901825</xdr:rowOff>
    </xdr:from>
    <xdr:to>
      <xdr:col>11</xdr:col>
      <xdr:colOff>476885</xdr:colOff>
      <xdr:row>44</xdr:row>
      <xdr:rowOff>2292985</xdr:rowOff>
    </xdr:to>
    <xdr:sp>
      <xdr:nvSpPr>
        <xdr:cNvPr id="3" name="Rounded Rectangle 2"/>
        <xdr:cNvSpPr/>
      </xdr:nvSpPr>
      <xdr:spPr>
        <a:xfrm>
          <a:off x="6251575" y="9948545"/>
          <a:ext cx="4409440" cy="391160"/>
        </a:xfrm>
        <a:prstGeom prst="roundRect">
          <a:avLst>
            <a:gd name="adj" fmla="val 27759"/>
          </a:avLst>
        </a:prstGeom>
      </xdr:spPr>
      <xdr:style>
        <a:lnRef idx="0">
          <a:srgbClr val="FFFFFF"/>
        </a:lnRef>
        <a:fillRef idx="3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>
              <a:solidFill>
                <a:schemeClr val="tx1"/>
              </a:solidFill>
            </a:rPr>
            <a:t>💰  Avg Balance:   ₹842.86 </a:t>
          </a:r>
          <a:endParaRPr lang="en-US" sz="1600">
            <a:solidFill>
              <a:schemeClr val="tx1"/>
            </a:solidFill>
          </a:endParaRPr>
        </a:p>
        <a:p>
          <a:pPr algn="l"/>
          <a:endParaRPr lang="en-US" sz="1600">
            <a:solidFill>
              <a:schemeClr val="tx1"/>
            </a:solidFill>
          </a:endParaRPr>
        </a:p>
        <a:p>
          <a:pPr algn="l"/>
          <a:endParaRPr 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60960</xdr:colOff>
      <xdr:row>44</xdr:row>
      <xdr:rowOff>1335405</xdr:rowOff>
    </xdr:from>
    <xdr:to>
      <xdr:col>11</xdr:col>
      <xdr:colOff>466090</xdr:colOff>
      <xdr:row>44</xdr:row>
      <xdr:rowOff>1726565</xdr:rowOff>
    </xdr:to>
    <xdr:sp>
      <xdr:nvSpPr>
        <xdr:cNvPr id="10" name="Rounded Rectangle 9"/>
        <xdr:cNvSpPr/>
      </xdr:nvSpPr>
      <xdr:spPr>
        <a:xfrm>
          <a:off x="6240780" y="9382125"/>
          <a:ext cx="4409440" cy="391160"/>
        </a:xfrm>
        <a:prstGeom prst="roundRect">
          <a:avLst>
            <a:gd name="adj" fmla="val 27759"/>
          </a:avLst>
        </a:prstGeom>
      </xdr:spPr>
      <xdr:style>
        <a:lnRef idx="0">
          <a:srgbClr val="FFFFFF"/>
        </a:lnRef>
        <a:fillRef idx="3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>
              <a:solidFill>
                <a:schemeClr val="tx1"/>
              </a:solidFill>
              <a:sym typeface="+mn-ea"/>
            </a:rPr>
            <a:t>🏦  Best Permorming Branch: SBI Borivali Mumbai</a:t>
          </a:r>
          <a:endParaRPr lang="en-US" sz="1600">
            <a:solidFill>
              <a:schemeClr val="tx1"/>
            </a:solidFill>
          </a:endParaRPr>
        </a:p>
        <a:p>
          <a:pPr algn="l"/>
          <a:endParaRPr lang="en-US" sz="1600">
            <a:solidFill>
              <a:schemeClr val="tx1"/>
            </a:solidFill>
          </a:endParaRPr>
        </a:p>
        <a:p>
          <a:pPr algn="l"/>
          <a:endParaRPr 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447040</xdr:colOff>
      <xdr:row>44</xdr:row>
      <xdr:rowOff>1321435</xdr:rowOff>
    </xdr:from>
    <xdr:to>
      <xdr:col>21</xdr:col>
      <xdr:colOff>589280</xdr:colOff>
      <xdr:row>44</xdr:row>
      <xdr:rowOff>1712595</xdr:rowOff>
    </xdr:to>
    <xdr:sp>
      <xdr:nvSpPr>
        <xdr:cNvPr id="11" name="Rounded Rectangle 10"/>
        <xdr:cNvSpPr/>
      </xdr:nvSpPr>
      <xdr:spPr>
        <a:xfrm>
          <a:off x="12459970" y="9368155"/>
          <a:ext cx="4409440" cy="391160"/>
        </a:xfrm>
        <a:prstGeom prst="roundRect">
          <a:avLst>
            <a:gd name="adj" fmla="val 27759"/>
          </a:avLst>
        </a:prstGeom>
      </xdr:spPr>
      <xdr:style>
        <a:lnRef idx="0">
          <a:srgbClr val="FFFFFF"/>
        </a:lnRef>
        <a:fillRef idx="3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>
              <a:solidFill>
                <a:schemeClr val="tx1"/>
              </a:solidFill>
              <a:sym typeface="+mn-ea"/>
            </a:rPr>
            <a:t>💳  Credit Utilization Rate: 11%</a:t>
          </a:r>
          <a:endParaRPr lang="en-US" sz="1600">
            <a:solidFill>
              <a:schemeClr val="tx1"/>
            </a:solidFill>
          </a:endParaRPr>
        </a:p>
        <a:p>
          <a:pPr algn="l"/>
          <a:endParaRPr lang="en-US" sz="1600">
            <a:solidFill>
              <a:schemeClr val="tx1"/>
            </a:solidFill>
          </a:endParaRPr>
        </a:p>
        <a:p>
          <a:pPr algn="l"/>
          <a:endParaRPr 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423545</xdr:colOff>
      <xdr:row>44</xdr:row>
      <xdr:rowOff>772795</xdr:rowOff>
    </xdr:from>
    <xdr:to>
      <xdr:col>21</xdr:col>
      <xdr:colOff>565785</xdr:colOff>
      <xdr:row>44</xdr:row>
      <xdr:rowOff>1163955</xdr:rowOff>
    </xdr:to>
    <xdr:sp>
      <xdr:nvSpPr>
        <xdr:cNvPr id="12" name="Rounded Rectangle 11"/>
        <xdr:cNvSpPr/>
      </xdr:nvSpPr>
      <xdr:spPr>
        <a:xfrm>
          <a:off x="12436475" y="8819515"/>
          <a:ext cx="4409440" cy="391160"/>
        </a:xfrm>
        <a:prstGeom prst="roundRect">
          <a:avLst>
            <a:gd name="adj" fmla="val 27759"/>
          </a:avLst>
        </a:prstGeom>
      </xdr:spPr>
      <xdr:style>
        <a:lnRef idx="0">
          <a:srgbClr val="FFFFFF"/>
        </a:lnRef>
        <a:fillRef idx="3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>
              <a:solidFill>
                <a:schemeClr val="tx1"/>
              </a:solidFill>
              <a:sym typeface="+mn-ea"/>
            </a:rPr>
            <a:t>📈  Loan Recovery Rate: 23%</a:t>
          </a:r>
          <a:endParaRPr lang="en-US" sz="1600">
            <a:solidFill>
              <a:schemeClr val="tx1"/>
            </a:solidFill>
          </a:endParaRPr>
        </a:p>
        <a:p>
          <a:pPr algn="l"/>
          <a:endParaRPr lang="en-US" sz="1600">
            <a:solidFill>
              <a:schemeClr val="tx1"/>
            </a:solidFill>
          </a:endParaRPr>
        </a:p>
        <a:p>
          <a:pPr algn="l"/>
          <a:endParaRPr 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50165</xdr:colOff>
      <xdr:row>44</xdr:row>
      <xdr:rowOff>770255</xdr:rowOff>
    </xdr:from>
    <xdr:to>
      <xdr:col>11</xdr:col>
      <xdr:colOff>455295</xdr:colOff>
      <xdr:row>44</xdr:row>
      <xdr:rowOff>1161415</xdr:rowOff>
    </xdr:to>
    <xdr:sp>
      <xdr:nvSpPr>
        <xdr:cNvPr id="13" name="Rounded Rectangle 12"/>
        <xdr:cNvSpPr/>
      </xdr:nvSpPr>
      <xdr:spPr>
        <a:xfrm>
          <a:off x="6229985" y="8816975"/>
          <a:ext cx="4409440" cy="391160"/>
        </a:xfrm>
        <a:prstGeom prst="roundRect">
          <a:avLst>
            <a:gd name="adj" fmla="val 27759"/>
          </a:avLst>
        </a:prstGeom>
      </xdr:spPr>
      <xdr:style>
        <a:lnRef idx="0">
          <a:srgbClr val="FFFFFF"/>
        </a:lnRef>
        <a:fillRef idx="3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800">
              <a:solidFill>
                <a:schemeClr val="tx1"/>
              </a:solidFill>
              <a:sym typeface="+mn-ea"/>
            </a:rPr>
            <a:t>🏆  Highest Deposit Region: </a:t>
          </a:r>
          <a:r>
            <a:rPr lang="en-US" sz="1600">
              <a:solidFill>
                <a:schemeClr val="tx1"/>
              </a:solidFill>
              <a:sym typeface="+mn-ea"/>
            </a:rPr>
            <a:t>Western Region</a:t>
          </a:r>
          <a:endParaRPr lang="en-US" sz="1600">
            <a:solidFill>
              <a:schemeClr val="tx1"/>
            </a:solidFill>
          </a:endParaRPr>
        </a:p>
        <a:p>
          <a:pPr algn="l"/>
          <a:endParaRPr lang="en-US" sz="1600">
            <a:solidFill>
              <a:schemeClr val="tx1"/>
            </a:solidFill>
          </a:endParaRPr>
        </a:p>
        <a:p>
          <a:pPr algn="l"/>
          <a:endParaRPr 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470535</xdr:colOff>
      <xdr:row>44</xdr:row>
      <xdr:rowOff>1876425</xdr:rowOff>
    </xdr:from>
    <xdr:to>
      <xdr:col>22</xdr:col>
      <xdr:colOff>3175</xdr:colOff>
      <xdr:row>44</xdr:row>
      <xdr:rowOff>2267585</xdr:rowOff>
    </xdr:to>
    <xdr:sp>
      <xdr:nvSpPr>
        <xdr:cNvPr id="14" name="Rounded Rectangle 13"/>
        <xdr:cNvSpPr/>
      </xdr:nvSpPr>
      <xdr:spPr>
        <a:xfrm>
          <a:off x="12483465" y="9923145"/>
          <a:ext cx="4409440" cy="391160"/>
        </a:xfrm>
        <a:prstGeom prst="roundRect">
          <a:avLst>
            <a:gd name="adj" fmla="val 27759"/>
          </a:avLst>
        </a:prstGeom>
      </xdr:spPr>
      <xdr:style>
        <a:lnRef idx="0">
          <a:srgbClr val="FFFFFF"/>
        </a:lnRef>
        <a:fillRef idx="3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>
              <a:solidFill>
                <a:schemeClr val="tx1"/>
              </a:solidFill>
              <a:sym typeface="+mn-ea"/>
            </a:rPr>
            <a:t>🔐  Locker Occupancy Rate: 100%</a:t>
          </a:r>
          <a:endParaRPr lang="en-US" sz="1600">
            <a:solidFill>
              <a:schemeClr val="tx1"/>
            </a:solidFill>
          </a:endParaRPr>
        </a:p>
        <a:p>
          <a:pPr algn="l"/>
          <a:endParaRPr lang="en-US" sz="1600">
            <a:solidFill>
              <a:schemeClr val="tx1"/>
            </a:solidFill>
          </a:endParaRPr>
        </a:p>
        <a:p>
          <a:pPr algn="l"/>
          <a:endParaRPr 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499745</xdr:colOff>
      <xdr:row>6</xdr:row>
      <xdr:rowOff>131445</xdr:rowOff>
    </xdr:from>
    <xdr:to>
      <xdr:col>6</xdr:col>
      <xdr:colOff>908050</xdr:colOff>
      <xdr:row>13</xdr:row>
      <xdr:rowOff>156210</xdr:rowOff>
    </xdr:to>
    <xdr:sp>
      <xdr:nvSpPr>
        <xdr:cNvPr id="20" name="Rounded Rectangle 19"/>
        <xdr:cNvSpPr/>
      </xdr:nvSpPr>
      <xdr:spPr>
        <a:xfrm>
          <a:off x="3037205" y="1228725"/>
          <a:ext cx="2846705" cy="1304925"/>
        </a:xfrm>
        <a:prstGeom prst="roundRect">
          <a:avLst>
            <a:gd name="adj" fmla="val 11174"/>
          </a:avLst>
        </a:prstGeom>
        <a:solidFill>
          <a:srgbClr val="00206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6</xdr:col>
      <xdr:colOff>1112520</xdr:colOff>
      <xdr:row>6</xdr:row>
      <xdr:rowOff>154940</xdr:rowOff>
    </xdr:from>
    <xdr:to>
      <xdr:col>9</xdr:col>
      <xdr:colOff>309245</xdr:colOff>
      <xdr:row>13</xdr:row>
      <xdr:rowOff>179705</xdr:rowOff>
    </xdr:to>
    <xdr:sp>
      <xdr:nvSpPr>
        <xdr:cNvPr id="23" name="Rounded Rectangle 22"/>
        <xdr:cNvSpPr/>
      </xdr:nvSpPr>
      <xdr:spPr>
        <a:xfrm>
          <a:off x="6088380" y="1252220"/>
          <a:ext cx="2846705" cy="1304925"/>
        </a:xfrm>
        <a:prstGeom prst="roundRect">
          <a:avLst>
            <a:gd name="adj" fmla="val 11174"/>
          </a:avLst>
        </a:prstGeom>
        <a:solidFill>
          <a:srgbClr val="00206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14</xdr:col>
      <xdr:colOff>20955</xdr:colOff>
      <xdr:row>6</xdr:row>
      <xdr:rowOff>155575</xdr:rowOff>
    </xdr:from>
    <xdr:to>
      <xdr:col>18</xdr:col>
      <xdr:colOff>429260</xdr:colOff>
      <xdr:row>13</xdr:row>
      <xdr:rowOff>180340</xdr:rowOff>
    </xdr:to>
    <xdr:sp>
      <xdr:nvSpPr>
        <xdr:cNvPr id="24" name="Rounded Rectangle 23"/>
        <xdr:cNvSpPr/>
      </xdr:nvSpPr>
      <xdr:spPr>
        <a:xfrm>
          <a:off x="12033885" y="1252855"/>
          <a:ext cx="2846705" cy="1304925"/>
        </a:xfrm>
        <a:prstGeom prst="roundRect">
          <a:avLst>
            <a:gd name="adj" fmla="val 11174"/>
          </a:avLst>
        </a:prstGeom>
        <a:solidFill>
          <a:srgbClr val="00206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18</xdr:col>
      <xdr:colOff>565150</xdr:colOff>
      <xdr:row>6</xdr:row>
      <xdr:rowOff>146050</xdr:rowOff>
    </xdr:from>
    <xdr:to>
      <xdr:col>23</xdr:col>
      <xdr:colOff>497840</xdr:colOff>
      <xdr:row>13</xdr:row>
      <xdr:rowOff>171450</xdr:rowOff>
    </xdr:to>
    <xdr:sp>
      <xdr:nvSpPr>
        <xdr:cNvPr id="30" name="Rounded Rectangle 29"/>
        <xdr:cNvSpPr/>
      </xdr:nvSpPr>
      <xdr:spPr>
        <a:xfrm>
          <a:off x="15016480" y="1243330"/>
          <a:ext cx="2980690" cy="1305560"/>
        </a:xfrm>
        <a:prstGeom prst="roundRect">
          <a:avLst>
            <a:gd name="adj" fmla="val 11174"/>
          </a:avLst>
        </a:prstGeom>
        <a:solidFill>
          <a:srgbClr val="00206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424180</xdr:colOff>
      <xdr:row>6</xdr:row>
      <xdr:rowOff>164465</xdr:rowOff>
    </xdr:from>
    <xdr:to>
      <xdr:col>13</xdr:col>
      <xdr:colOff>493395</xdr:colOff>
      <xdr:row>14</xdr:row>
      <xdr:rowOff>6350</xdr:rowOff>
    </xdr:to>
    <xdr:sp>
      <xdr:nvSpPr>
        <xdr:cNvPr id="31" name="Rounded Rectangle 30"/>
        <xdr:cNvSpPr/>
      </xdr:nvSpPr>
      <xdr:spPr>
        <a:xfrm>
          <a:off x="9050020" y="1261745"/>
          <a:ext cx="2846705" cy="1304925"/>
        </a:xfrm>
        <a:prstGeom prst="roundRect">
          <a:avLst>
            <a:gd name="adj" fmla="val 11174"/>
          </a:avLst>
        </a:prstGeom>
        <a:solidFill>
          <a:srgbClr val="00206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10</xdr:col>
      <xdr:colOff>821055</xdr:colOff>
      <xdr:row>29</xdr:row>
      <xdr:rowOff>67310</xdr:rowOff>
    </xdr:from>
    <xdr:to>
      <xdr:col>17</xdr:col>
      <xdr:colOff>473075</xdr:colOff>
      <xdr:row>42</xdr:row>
      <xdr:rowOff>8255</xdr:rowOff>
    </xdr:to>
    <mc:AlternateContent xmlns:mc="http://schemas.openxmlformats.org/markup-compatibility/2006">
      <mc:Choice xmlns:cx1="http://schemas.microsoft.com/office/drawing/2015/9/8/chartex" Requires="cx1">
        <xdr:graphicFrame>
          <xdr:nvGraphicFramePr>
            <xdr:cNvPr id="32" name="Chart 31"/>
            <xdr:cNvGraphicFramePr/>
          </xdr:nvGraphicFramePr>
          <xdr:xfrm>
            <a:off x="10056495" y="5370830"/>
            <a:ext cx="4258310" cy="2318385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56495" y="5370830"/>
              <a:ext cx="4258310" cy="23183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chart is not available in the current version.
Editing this shape or converting this workbook to a different file format will permanently break the chart.
Download the latest version of WPS to use.</a:t>
              </a:r>
            </a:p>
          </xdr:txBody>
        </xdr:sp>
      </mc:Fallback>
    </mc:AlternateContent>
    <xdr:clientData/>
  </xdr:twoCellAnchor>
  <xdr:twoCellAnchor>
    <xdr:from>
      <xdr:col>0</xdr:col>
      <xdr:colOff>944245</xdr:colOff>
      <xdr:row>7</xdr:row>
      <xdr:rowOff>86360</xdr:rowOff>
    </xdr:from>
    <xdr:to>
      <xdr:col>2</xdr:col>
      <xdr:colOff>29210</xdr:colOff>
      <xdr:row>10</xdr:row>
      <xdr:rowOff>99060</xdr:rowOff>
    </xdr:to>
    <xdr:sp>
      <xdr:nvSpPr>
        <xdr:cNvPr id="34" name="Text Box 33"/>
        <xdr:cNvSpPr txBox="1"/>
      </xdr:nvSpPr>
      <xdr:spPr>
        <a:xfrm>
          <a:off x="944245" y="1366520"/>
          <a:ext cx="1622425" cy="561340"/>
        </a:xfrm>
        <a:prstGeom prst="rect">
          <a:avLst/>
        </a:prstGeom>
        <a:solidFill>
          <a:srgbClr val="002060"/>
        </a:solidFill>
        <a:ln w="9525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2600">
              <a:solidFill>
                <a:schemeClr val="bg1"/>
              </a:solidFill>
              <a:latin typeface="Franklin Gothic Demi Cond" panose="020B0706030402020204" charset="0"/>
              <a:cs typeface="Franklin Gothic Demi Cond" panose="020B0706030402020204" charset="0"/>
            </a:rPr>
            <a:t>Customers</a:t>
          </a:r>
          <a:endParaRPr lang="en-US" sz="2600">
            <a:solidFill>
              <a:schemeClr val="bg1"/>
            </a:solidFill>
            <a:latin typeface="Franklin Gothic Demi Cond" panose="020B0706030402020204" charset="0"/>
            <a:cs typeface="Franklin Gothic Demi Cond" panose="020B0706030402020204" charset="0"/>
          </a:endParaRPr>
        </a:p>
      </xdr:txBody>
    </xdr:sp>
    <xdr:clientData/>
  </xdr:twoCellAnchor>
  <xdr:twoCellAnchor editAs="oneCell">
    <xdr:from>
      <xdr:col>0</xdr:col>
      <xdr:colOff>100965</xdr:colOff>
      <xdr:row>5</xdr:row>
      <xdr:rowOff>116840</xdr:rowOff>
    </xdr:from>
    <xdr:to>
      <xdr:col>0</xdr:col>
      <xdr:colOff>936625</xdr:colOff>
      <xdr:row>12</xdr:row>
      <xdr:rowOff>53340</xdr:rowOff>
    </xdr:to>
    <xdr:pic>
      <xdr:nvPicPr>
        <xdr:cNvPr id="38" name="Picture 37" descr="followers-colored-flat-icon-against-transparent-background-free-pn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00965" y="1031240"/>
          <a:ext cx="835660" cy="1216660"/>
        </a:xfrm>
        <a:prstGeom prst="rect">
          <a:avLst/>
        </a:prstGeom>
      </xdr:spPr>
    </xdr:pic>
    <xdr:clientData/>
  </xdr:twoCellAnchor>
  <xdr:twoCellAnchor>
    <xdr:from>
      <xdr:col>4</xdr:col>
      <xdr:colOff>81280</xdr:colOff>
      <xdr:row>7</xdr:row>
      <xdr:rowOff>96520</xdr:rowOff>
    </xdr:from>
    <xdr:to>
      <xdr:col>6</xdr:col>
      <xdr:colOff>621665</xdr:colOff>
      <xdr:row>10</xdr:row>
      <xdr:rowOff>109220</xdr:rowOff>
    </xdr:to>
    <xdr:sp>
      <xdr:nvSpPr>
        <xdr:cNvPr id="40" name="Text Box 39"/>
        <xdr:cNvSpPr txBox="1"/>
      </xdr:nvSpPr>
      <xdr:spPr>
        <a:xfrm>
          <a:off x="3837940" y="1376680"/>
          <a:ext cx="1759585" cy="561340"/>
        </a:xfrm>
        <a:prstGeom prst="rect">
          <a:avLst/>
        </a:prstGeom>
        <a:solidFill>
          <a:srgbClr val="002060"/>
        </a:solidFill>
        <a:ln w="9525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600">
              <a:solidFill>
                <a:schemeClr val="bg1"/>
              </a:solidFill>
              <a:latin typeface="Franklin Gothic Demi Cond" panose="020B0706030402020204" charset="0"/>
              <a:cs typeface="Franklin Gothic Demi Cond" panose="020B0706030402020204" charset="0"/>
            </a:rPr>
            <a:t>Accounts</a:t>
          </a:r>
          <a:endParaRPr lang="en-US" sz="2600">
            <a:solidFill>
              <a:schemeClr val="bg1"/>
            </a:solidFill>
            <a:latin typeface="Franklin Gothic Demi Cond" panose="020B0706030402020204" charset="0"/>
            <a:cs typeface="Franklin Gothic Demi Cond" panose="020B0706030402020204" charset="0"/>
          </a:endParaRPr>
        </a:p>
      </xdr:txBody>
    </xdr:sp>
    <xdr:clientData/>
  </xdr:twoCellAnchor>
  <xdr:twoCellAnchor>
    <xdr:from>
      <xdr:col>10</xdr:col>
      <xdr:colOff>410210</xdr:colOff>
      <xdr:row>7</xdr:row>
      <xdr:rowOff>112395</xdr:rowOff>
    </xdr:from>
    <xdr:to>
      <xdr:col>13</xdr:col>
      <xdr:colOff>429260</xdr:colOff>
      <xdr:row>13</xdr:row>
      <xdr:rowOff>156845</xdr:rowOff>
    </xdr:to>
    <xdr:sp>
      <xdr:nvSpPr>
        <xdr:cNvPr id="41" name="Text Box 40"/>
        <xdr:cNvSpPr txBox="1"/>
      </xdr:nvSpPr>
      <xdr:spPr>
        <a:xfrm>
          <a:off x="9645650" y="1392555"/>
          <a:ext cx="2186940" cy="1141730"/>
        </a:xfrm>
        <a:prstGeom prst="rect">
          <a:avLst/>
        </a:prstGeom>
        <a:solidFill>
          <a:srgbClr val="002060"/>
        </a:solidFill>
        <a:ln w="9525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600">
              <a:solidFill>
                <a:schemeClr val="bg1"/>
              </a:solidFill>
              <a:latin typeface="Franklin Gothic Demi Cond" panose="020B0706030402020204" charset="0"/>
              <a:cs typeface="Franklin Gothic Demi Cond" panose="020B0706030402020204" charset="0"/>
            </a:rPr>
            <a:t>Loan</a:t>
          </a:r>
          <a:endParaRPr lang="en-US" sz="2600">
            <a:solidFill>
              <a:schemeClr val="bg1"/>
            </a:solidFill>
            <a:latin typeface="Franklin Gothic Demi Cond" panose="020B0706030402020204" charset="0"/>
            <a:cs typeface="Franklin Gothic Demi Cond" panose="020B0706030402020204" charset="0"/>
          </a:endParaRPr>
        </a:p>
        <a:p>
          <a:pPr algn="l"/>
          <a:r>
            <a:rPr lang="en-US" sz="2600">
              <a:solidFill>
                <a:schemeClr val="bg1"/>
              </a:solidFill>
              <a:latin typeface="Franklin Gothic Demi Cond" panose="020B0706030402020204" charset="0"/>
              <a:cs typeface="Franklin Gothic Demi Cond" panose="020B0706030402020204" charset="0"/>
            </a:rPr>
            <a:t>₹18,62,15,000</a:t>
          </a:r>
          <a:endParaRPr lang="en-US" sz="2600">
            <a:solidFill>
              <a:schemeClr val="bg1"/>
            </a:solidFill>
            <a:latin typeface="Franklin Gothic Demi Cond" panose="020B0706030402020204" charset="0"/>
            <a:cs typeface="Franklin Gothic Demi Cond" panose="020B0706030402020204" charset="0"/>
          </a:endParaRPr>
        </a:p>
        <a:p>
          <a:pPr algn="l"/>
          <a:endParaRPr lang="en-US" sz="2600">
            <a:solidFill>
              <a:schemeClr val="bg1"/>
            </a:solidFill>
            <a:latin typeface="Franklin Gothic Demi Cond" panose="020B0706030402020204" charset="0"/>
            <a:cs typeface="Franklin Gothic Demi Cond" panose="020B0706030402020204" charset="0"/>
          </a:endParaRPr>
        </a:p>
      </xdr:txBody>
    </xdr:sp>
    <xdr:clientData/>
  </xdr:twoCellAnchor>
  <xdr:twoCellAnchor>
    <xdr:from>
      <xdr:col>7</xdr:col>
      <xdr:colOff>509270</xdr:colOff>
      <xdr:row>7</xdr:row>
      <xdr:rowOff>139065</xdr:rowOff>
    </xdr:from>
    <xdr:to>
      <xdr:col>8</xdr:col>
      <xdr:colOff>584200</xdr:colOff>
      <xdr:row>13</xdr:row>
      <xdr:rowOff>128270</xdr:rowOff>
    </xdr:to>
    <xdr:sp>
      <xdr:nvSpPr>
        <xdr:cNvPr id="42" name="Text Box 41"/>
        <xdr:cNvSpPr txBox="1"/>
      </xdr:nvSpPr>
      <xdr:spPr>
        <a:xfrm>
          <a:off x="6689090" y="1419225"/>
          <a:ext cx="1911350" cy="1086485"/>
        </a:xfrm>
        <a:prstGeom prst="rect">
          <a:avLst/>
        </a:prstGeom>
        <a:solidFill>
          <a:srgbClr val="002060"/>
        </a:solidFill>
        <a:ln w="9525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600">
              <a:solidFill>
                <a:schemeClr val="bg1"/>
              </a:solidFill>
              <a:latin typeface="Franklin Gothic Demi Cond" panose="020B0706030402020204" charset="0"/>
              <a:cs typeface="Franklin Gothic Demi Cond" panose="020B0706030402020204" charset="0"/>
            </a:rPr>
            <a:t>Deposits</a:t>
          </a:r>
          <a:endParaRPr lang="en-US" sz="2600">
            <a:solidFill>
              <a:schemeClr val="bg1"/>
            </a:solidFill>
            <a:latin typeface="Franklin Gothic Demi Cond" panose="020B0706030402020204" charset="0"/>
            <a:cs typeface="Franklin Gothic Demi Cond" panose="020B0706030402020204" charset="0"/>
          </a:endParaRPr>
        </a:p>
        <a:p>
          <a:pPr algn="l"/>
          <a:r>
            <a:rPr lang="en-US" sz="2600">
              <a:solidFill>
                <a:schemeClr val="bg1"/>
              </a:solidFill>
              <a:latin typeface="Franklin Gothic Demi Cond" panose="020B0706030402020204" charset="0"/>
              <a:cs typeface="Franklin Gothic Demi Cond" panose="020B0706030402020204" charset="0"/>
            </a:rPr>
            <a:t>₹7,76,52,452.50 </a:t>
          </a:r>
          <a:endParaRPr lang="en-US" sz="2600">
            <a:solidFill>
              <a:schemeClr val="bg1"/>
            </a:solidFill>
            <a:latin typeface="Franklin Gothic Demi Cond" panose="020B0706030402020204" charset="0"/>
            <a:cs typeface="Franklin Gothic Demi Cond" panose="020B0706030402020204" charset="0"/>
          </a:endParaRPr>
        </a:p>
        <a:p>
          <a:pPr algn="l"/>
          <a:endParaRPr lang="en-US" sz="2600">
            <a:solidFill>
              <a:schemeClr val="bg1"/>
            </a:solidFill>
            <a:latin typeface="Franklin Gothic Demi Cond" panose="020B0706030402020204" charset="0"/>
            <a:cs typeface="Franklin Gothic Demi Cond" panose="020B0706030402020204" charset="0"/>
          </a:endParaRPr>
        </a:p>
      </xdr:txBody>
    </xdr:sp>
    <xdr:clientData/>
  </xdr:twoCellAnchor>
  <xdr:twoCellAnchor>
    <xdr:from>
      <xdr:col>0</xdr:col>
      <xdr:colOff>1210945</xdr:colOff>
      <xdr:row>10</xdr:row>
      <xdr:rowOff>44450</xdr:rowOff>
    </xdr:from>
    <xdr:to>
      <xdr:col>1</xdr:col>
      <xdr:colOff>664210</xdr:colOff>
      <xdr:row>13</xdr:row>
      <xdr:rowOff>31750</xdr:rowOff>
    </xdr:to>
    <xdr:sp>
      <xdr:nvSpPr>
        <xdr:cNvPr id="43" name="Text Box 42"/>
        <xdr:cNvSpPr txBox="1"/>
      </xdr:nvSpPr>
      <xdr:spPr>
        <a:xfrm>
          <a:off x="1210945" y="1873250"/>
          <a:ext cx="1045845" cy="535940"/>
        </a:xfrm>
        <a:prstGeom prst="rect">
          <a:avLst/>
        </a:prstGeom>
        <a:solidFill>
          <a:srgbClr val="002060"/>
        </a:solidFill>
        <a:ln w="9525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600">
              <a:solidFill>
                <a:schemeClr val="bg1"/>
              </a:solidFill>
              <a:latin typeface="Franklin Gothic Demi Cond" panose="020B0706030402020204" charset="0"/>
              <a:cs typeface="Franklin Gothic Demi Cond" panose="020B0706030402020204" charset="0"/>
            </a:rPr>
            <a:t>150</a:t>
          </a:r>
          <a:endParaRPr lang="en-US" sz="2600">
            <a:solidFill>
              <a:schemeClr val="bg1"/>
            </a:solidFill>
            <a:latin typeface="Franklin Gothic Demi Cond" panose="020B0706030402020204" charset="0"/>
            <a:cs typeface="Franklin Gothic Demi Cond" panose="020B0706030402020204" charset="0"/>
          </a:endParaRPr>
        </a:p>
      </xdr:txBody>
    </xdr:sp>
    <xdr:clientData/>
  </xdr:twoCellAnchor>
  <xdr:twoCellAnchor>
    <xdr:from>
      <xdr:col>4</xdr:col>
      <xdr:colOff>125095</xdr:colOff>
      <xdr:row>10</xdr:row>
      <xdr:rowOff>93345</xdr:rowOff>
    </xdr:from>
    <xdr:to>
      <xdr:col>6</xdr:col>
      <xdr:colOff>104775</xdr:colOff>
      <xdr:row>13</xdr:row>
      <xdr:rowOff>105410</xdr:rowOff>
    </xdr:to>
    <xdr:sp>
      <xdr:nvSpPr>
        <xdr:cNvPr id="44" name="Text Box 43"/>
        <xdr:cNvSpPr txBox="1"/>
      </xdr:nvSpPr>
      <xdr:spPr>
        <a:xfrm>
          <a:off x="3881755" y="1922145"/>
          <a:ext cx="1198880" cy="560705"/>
        </a:xfrm>
        <a:prstGeom prst="rect">
          <a:avLst/>
        </a:prstGeom>
        <a:solidFill>
          <a:srgbClr val="002060"/>
        </a:solidFill>
        <a:ln w="9525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600">
              <a:solidFill>
                <a:schemeClr val="bg1"/>
              </a:solidFill>
              <a:latin typeface="Franklin Gothic Demi Cond" panose="020B0706030402020204" charset="0"/>
              <a:cs typeface="Franklin Gothic Demi Cond" panose="020B0706030402020204" charset="0"/>
            </a:rPr>
            <a:t>140</a:t>
          </a:r>
          <a:endParaRPr lang="en-US" sz="2600">
            <a:solidFill>
              <a:schemeClr val="bg1"/>
            </a:solidFill>
            <a:latin typeface="Franklin Gothic Demi Cond" panose="020B0706030402020204" charset="0"/>
            <a:cs typeface="Franklin Gothic Demi Cond" panose="020B0706030402020204" charset="0"/>
          </a:endParaRPr>
        </a:p>
      </xdr:txBody>
    </xdr:sp>
    <xdr:clientData/>
  </xdr:twoCellAnchor>
  <xdr:twoCellAnchor>
    <xdr:from>
      <xdr:col>19</xdr:col>
      <xdr:colOff>535305</xdr:colOff>
      <xdr:row>7</xdr:row>
      <xdr:rowOff>86360</xdr:rowOff>
    </xdr:from>
    <xdr:to>
      <xdr:col>23</xdr:col>
      <xdr:colOff>443230</xdr:colOff>
      <xdr:row>13</xdr:row>
      <xdr:rowOff>63500</xdr:rowOff>
    </xdr:to>
    <xdr:sp>
      <xdr:nvSpPr>
        <xdr:cNvPr id="46" name="Text Box 45"/>
        <xdr:cNvSpPr txBox="1"/>
      </xdr:nvSpPr>
      <xdr:spPr>
        <a:xfrm>
          <a:off x="15596235" y="1366520"/>
          <a:ext cx="2346325" cy="1074420"/>
        </a:xfrm>
        <a:prstGeom prst="rect">
          <a:avLst/>
        </a:prstGeom>
        <a:solidFill>
          <a:srgbClr val="002060"/>
        </a:solidFill>
        <a:ln w="9525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400">
              <a:solidFill>
                <a:schemeClr val="bg1"/>
              </a:solidFill>
              <a:latin typeface="Franklin Gothic Demi Cond" panose="020B0706030402020204" charset="0"/>
              <a:cs typeface="Franklin Gothic Demi Cond" panose="020B0706030402020204" charset="0"/>
            </a:rPr>
            <a:t>Insurance </a:t>
          </a:r>
          <a:r>
            <a:rPr lang="en-US" sz="2200">
              <a:solidFill>
                <a:schemeClr val="bg1"/>
              </a:solidFill>
              <a:latin typeface="Franklin Gothic Demi Cond" panose="020B0706030402020204" charset="0"/>
              <a:cs typeface="Franklin Gothic Demi Cond" panose="020B0706030402020204" charset="0"/>
            </a:rPr>
            <a:t>Premium</a:t>
          </a:r>
          <a:endParaRPr lang="en-US" sz="2200">
            <a:solidFill>
              <a:schemeClr val="bg1"/>
            </a:solidFill>
            <a:latin typeface="Franklin Gothic Demi Cond" panose="020B0706030402020204" charset="0"/>
            <a:cs typeface="Franklin Gothic Demi Cond" panose="020B0706030402020204" charset="0"/>
          </a:endParaRPr>
        </a:p>
        <a:p>
          <a:pPr algn="l"/>
          <a:r>
            <a:rPr lang="en-US" sz="2200">
              <a:solidFill>
                <a:schemeClr val="bg1"/>
              </a:solidFill>
              <a:latin typeface="Franklin Gothic Demi Cond" panose="020B0706030402020204" charset="0"/>
              <a:cs typeface="Franklin Gothic Demi Cond" panose="020B0706030402020204" charset="0"/>
            </a:rPr>
            <a:t>₹22,50,900.00 </a:t>
          </a:r>
          <a:endParaRPr lang="en-US" sz="2200">
            <a:solidFill>
              <a:schemeClr val="bg1"/>
            </a:solidFill>
            <a:latin typeface="Franklin Gothic Demi Cond" panose="020B0706030402020204" charset="0"/>
            <a:cs typeface="Franklin Gothic Demi Cond" panose="020B0706030402020204" charset="0"/>
          </a:endParaRPr>
        </a:p>
        <a:p>
          <a:pPr algn="l"/>
          <a:endParaRPr lang="en-US" sz="2200">
            <a:solidFill>
              <a:schemeClr val="bg1"/>
            </a:solidFill>
            <a:latin typeface="Franklin Gothic Demi Cond" panose="020B0706030402020204" charset="0"/>
            <a:cs typeface="Franklin Gothic Demi Cond" panose="020B0706030402020204" charset="0"/>
          </a:endParaRPr>
        </a:p>
      </xdr:txBody>
    </xdr:sp>
    <xdr:clientData/>
  </xdr:twoCellAnchor>
  <xdr:twoCellAnchor>
    <xdr:from>
      <xdr:col>15</xdr:col>
      <xdr:colOff>38735</xdr:colOff>
      <xdr:row>7</xdr:row>
      <xdr:rowOff>155575</xdr:rowOff>
    </xdr:from>
    <xdr:to>
      <xdr:col>18</xdr:col>
      <xdr:colOff>287020</xdr:colOff>
      <xdr:row>13</xdr:row>
      <xdr:rowOff>60325</xdr:rowOff>
    </xdr:to>
    <xdr:sp>
      <xdr:nvSpPr>
        <xdr:cNvPr id="50" name="Text Box 49"/>
        <xdr:cNvSpPr txBox="1"/>
      </xdr:nvSpPr>
      <xdr:spPr>
        <a:xfrm>
          <a:off x="12661265" y="1435735"/>
          <a:ext cx="2077085" cy="1002030"/>
        </a:xfrm>
        <a:prstGeom prst="rect">
          <a:avLst/>
        </a:prstGeom>
        <a:solidFill>
          <a:srgbClr val="002060"/>
        </a:solidFill>
        <a:ln w="9525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600">
              <a:solidFill>
                <a:schemeClr val="bg1"/>
              </a:solidFill>
              <a:latin typeface="Franklin Gothic Demi Cond" panose="020B0706030402020204" charset="0"/>
              <a:cs typeface="Franklin Gothic Demi Cond" panose="020B0706030402020204" charset="0"/>
            </a:rPr>
            <a:t>Fixed Deposits</a:t>
          </a:r>
          <a:endParaRPr lang="en-US" sz="2600">
            <a:solidFill>
              <a:schemeClr val="bg1"/>
            </a:solidFill>
            <a:latin typeface="Franklin Gothic Demi Cond" panose="020B0706030402020204" charset="0"/>
            <a:cs typeface="Franklin Gothic Demi Cond" panose="020B0706030402020204" charset="0"/>
          </a:endParaRPr>
        </a:p>
        <a:p>
          <a:pPr algn="l"/>
          <a:r>
            <a:rPr lang="en-US" sz="2600">
              <a:solidFill>
                <a:schemeClr val="bg1"/>
              </a:solidFill>
              <a:latin typeface="Franklin Gothic Demi Cond" panose="020B0706030402020204" charset="0"/>
              <a:cs typeface="Franklin Gothic Demi Cond" panose="020B0706030402020204" charset="0"/>
            </a:rPr>
            <a:t>₹7,58,80,000</a:t>
          </a:r>
          <a:endParaRPr lang="en-US" sz="2600">
            <a:solidFill>
              <a:schemeClr val="bg1"/>
            </a:solidFill>
            <a:latin typeface="Franklin Gothic Demi Cond" panose="020B0706030402020204" charset="0"/>
            <a:cs typeface="Franklin Gothic Demi Cond" panose="020B0706030402020204" charset="0"/>
          </a:endParaRPr>
        </a:p>
        <a:p>
          <a:pPr algn="l"/>
          <a:endParaRPr lang="en-US" sz="2600">
            <a:solidFill>
              <a:schemeClr val="bg1"/>
            </a:solidFill>
            <a:latin typeface="Franklin Gothic Demi Cond" panose="020B0706030402020204" charset="0"/>
            <a:cs typeface="Franklin Gothic Demi Cond" panose="020B0706030402020204" charset="0"/>
          </a:endParaRPr>
        </a:p>
      </xdr:txBody>
    </xdr:sp>
    <xdr:clientData/>
  </xdr:twoCellAnchor>
  <xdr:twoCellAnchor editAs="oneCell">
    <xdr:from>
      <xdr:col>9</xdr:col>
      <xdr:colOff>466725</xdr:colOff>
      <xdr:row>8</xdr:row>
      <xdr:rowOff>59690</xdr:rowOff>
    </xdr:from>
    <xdr:to>
      <xdr:col>10</xdr:col>
      <xdr:colOff>449580</xdr:colOff>
      <xdr:row>11</xdr:row>
      <xdr:rowOff>100965</xdr:rowOff>
    </xdr:to>
    <xdr:pic>
      <xdr:nvPicPr>
        <xdr:cNvPr id="17" name="Picture 16" descr="1101051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092565" y="1522730"/>
          <a:ext cx="592455" cy="589915"/>
        </a:xfrm>
        <a:prstGeom prst="rect">
          <a:avLst/>
        </a:prstGeom>
      </xdr:spPr>
    </xdr:pic>
    <xdr:clientData/>
  </xdr:twoCellAnchor>
  <xdr:twoCellAnchor editAs="oneCell">
    <xdr:from>
      <xdr:col>6</xdr:col>
      <xdr:colOff>1116330</xdr:colOff>
      <xdr:row>7</xdr:row>
      <xdr:rowOff>169545</xdr:rowOff>
    </xdr:from>
    <xdr:to>
      <xdr:col>7</xdr:col>
      <xdr:colOff>604520</xdr:colOff>
      <xdr:row>11</xdr:row>
      <xdr:rowOff>116205</xdr:rowOff>
    </xdr:to>
    <xdr:pic>
      <xdr:nvPicPr>
        <xdr:cNvPr id="18" name="Picture 17" descr="272112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092190" y="1449705"/>
          <a:ext cx="692150" cy="67818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101600</xdr:rowOff>
    </xdr:from>
    <xdr:to>
      <xdr:col>15</xdr:col>
      <xdr:colOff>99695</xdr:colOff>
      <xdr:row>11</xdr:row>
      <xdr:rowOff>68580</xdr:rowOff>
    </xdr:to>
    <xdr:pic>
      <xdr:nvPicPr>
        <xdr:cNvPr id="25" name="Picture 24" descr="Loan-PNG-Clipart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2012930" y="1381760"/>
          <a:ext cx="709295" cy="698500"/>
        </a:xfrm>
        <a:prstGeom prst="rect">
          <a:avLst/>
        </a:prstGeom>
      </xdr:spPr>
    </xdr:pic>
    <xdr:clientData/>
  </xdr:twoCellAnchor>
  <xdr:twoCellAnchor editAs="oneCell">
    <xdr:from>
      <xdr:col>18</xdr:col>
      <xdr:colOff>600075</xdr:colOff>
      <xdr:row>8</xdr:row>
      <xdr:rowOff>19685</xdr:rowOff>
    </xdr:from>
    <xdr:to>
      <xdr:col>19</xdr:col>
      <xdr:colOff>605155</xdr:colOff>
      <xdr:row>12</xdr:row>
      <xdr:rowOff>46990</xdr:rowOff>
    </xdr:to>
    <xdr:pic>
      <xdr:nvPicPr>
        <xdr:cNvPr id="26" name="Picture 25" descr="insurance-protected-icon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5051405" y="1482725"/>
          <a:ext cx="614680" cy="758825"/>
        </a:xfrm>
        <a:prstGeom prst="rect">
          <a:avLst/>
        </a:prstGeom>
      </xdr:spPr>
    </xdr:pic>
    <xdr:clientData/>
  </xdr:twoCellAnchor>
  <xdr:twoCellAnchor editAs="oneCell">
    <xdr:from>
      <xdr:col>3</xdr:col>
      <xdr:colOff>6985</xdr:colOff>
      <xdr:row>7</xdr:row>
      <xdr:rowOff>91440</xdr:rowOff>
    </xdr:from>
    <xdr:to>
      <xdr:col>4</xdr:col>
      <xdr:colOff>78740</xdr:colOff>
      <xdr:row>11</xdr:row>
      <xdr:rowOff>40640</xdr:rowOff>
    </xdr:to>
    <xdr:pic>
      <xdr:nvPicPr>
        <xdr:cNvPr id="27" name="Picture 26" descr="7107431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154045" y="1371600"/>
          <a:ext cx="681355" cy="680720"/>
        </a:xfrm>
        <a:prstGeom prst="rect">
          <a:avLst/>
        </a:prstGeom>
      </xdr:spPr>
    </xdr:pic>
    <xdr:clientData/>
  </xdr:twoCellAnchor>
  <xdr:twoCellAnchor>
    <xdr:from>
      <xdr:col>10</xdr:col>
      <xdr:colOff>819150</xdr:colOff>
      <xdr:row>29</xdr:row>
      <xdr:rowOff>65405</xdr:rowOff>
    </xdr:from>
    <xdr:to>
      <xdr:col>17</xdr:col>
      <xdr:colOff>517525</xdr:colOff>
      <xdr:row>42</xdr:row>
      <xdr:rowOff>42545</xdr:rowOff>
    </xdr:to>
    <mc:AlternateContent xmlns:mc="http://schemas.openxmlformats.org/markup-compatibility/2006">
      <mc:Choice xmlns:cx1="http://schemas.microsoft.com/office/drawing/2015/9/8/chartex" Requires="cx1">
        <xdr:graphicFrame>
          <xdr:nvGraphicFramePr>
            <xdr:cNvPr id="28" name="Chart 27"/>
            <xdr:cNvGraphicFramePr/>
          </xdr:nvGraphicFramePr>
          <xdr:xfrm>
            <a:off x="10054590" y="5368925"/>
            <a:ext cx="4304665" cy="235458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54590" y="5368925"/>
              <a:ext cx="4304665" cy="23545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chart is not available in the current version.
Editing this shape or converting this workbook to a different file format will permanently break the chart.
Download the latest version of WPS to use.</a:t>
              </a:r>
            </a:p>
          </xdr:txBody>
        </xdr:sp>
      </mc:Fallback>
    </mc:AlternateContent>
    <xdr:clientData/>
  </xdr:twoCellAnchor>
  <xdr:twoCellAnchor>
    <xdr:from>
      <xdr:col>20</xdr:col>
      <xdr:colOff>367665</xdr:colOff>
      <xdr:row>1</xdr:row>
      <xdr:rowOff>50165</xdr:rowOff>
    </xdr:from>
    <xdr:to>
      <xdr:col>23</xdr:col>
      <xdr:colOff>330200</xdr:colOff>
      <xdr:row>4</xdr:row>
      <xdr:rowOff>87630</xdr:rowOff>
    </xdr:to>
    <xdr:sp>
      <xdr:nvSpPr>
        <xdr:cNvPr id="29" name="Text Box 28"/>
        <xdr:cNvSpPr txBox="1"/>
      </xdr:nvSpPr>
      <xdr:spPr>
        <a:xfrm>
          <a:off x="16038195" y="233045"/>
          <a:ext cx="1791335" cy="586105"/>
        </a:xfrm>
        <a:prstGeom prst="rect">
          <a:avLst/>
        </a:prstGeom>
        <a:solidFill>
          <a:srgbClr val="002060"/>
        </a:solidFill>
        <a:ln w="9525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3600">
              <a:solidFill>
                <a:schemeClr val="bg1"/>
              </a:solidFill>
              <a:latin typeface="Franklin Gothic Demi Cond" panose="020B0706030402020204" charset="0"/>
              <a:cs typeface="Franklin Gothic Demi Cond" panose="020B0706030402020204" charset="0"/>
            </a:rPr>
            <a:t>FY 2026</a:t>
          </a:r>
          <a:endParaRPr lang="en-US" sz="3600">
            <a:solidFill>
              <a:schemeClr val="bg1"/>
            </a:solidFill>
            <a:latin typeface="Britannic Bold" panose="020B0903060703020204" charset="0"/>
            <a:cs typeface="Britannic Bold" panose="020B0903060703020204" charset="0"/>
          </a:endParaRPr>
        </a:p>
      </xdr:txBody>
    </xdr:sp>
    <xdr:clientData/>
  </xdr:twoCellAnchor>
  <xdr:twoCellAnchor>
    <xdr:from>
      <xdr:col>10</xdr:col>
      <xdr:colOff>819150</xdr:colOff>
      <xdr:row>29</xdr:row>
      <xdr:rowOff>65405</xdr:rowOff>
    </xdr:from>
    <xdr:to>
      <xdr:col>17</xdr:col>
      <xdr:colOff>462280</xdr:colOff>
      <xdr:row>42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>
          <xdr:nvGraphicFramePr>
            <xdr:cNvPr id="35" name="Chart 34"/>
            <xdr:cNvGraphicFramePr/>
          </xdr:nvGraphicFramePr>
          <xdr:xfrm>
            <a:off x="10054590" y="5368925"/>
            <a:ext cx="4249420" cy="2388235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54590" y="5368925"/>
              <a:ext cx="4249420" cy="23882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chart is not available in the current version.
Editing this shape or converting this workbook to a different file format will permanently break the chart.
Download the latest version of WPS to use.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BI_REPORT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BI_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LOAN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BI_REPORT"/>
    </sheetNames>
    <sheetDataSet>
      <sheetData sheetId="0">
        <row r="1">
          <cell r="F1" t="str">
            <v>total_customers</v>
          </cell>
        </row>
        <row r="2">
          <cell r="F2">
            <v>1</v>
          </cell>
        </row>
        <row r="3">
          <cell r="F3">
            <v>0</v>
          </cell>
        </row>
        <row r="4">
          <cell r="F4">
            <v>1</v>
          </cell>
        </row>
        <row r="5">
          <cell r="F5">
            <v>1</v>
          </cell>
        </row>
        <row r="6">
          <cell r="F6">
            <v>2</v>
          </cell>
        </row>
        <row r="7">
          <cell r="F7">
            <v>0</v>
          </cell>
        </row>
        <row r="8">
          <cell r="F8">
            <v>1</v>
          </cell>
        </row>
        <row r="9">
          <cell r="F9">
            <v>1</v>
          </cell>
        </row>
        <row r="10">
          <cell r="F10">
            <v>1</v>
          </cell>
        </row>
        <row r="11">
          <cell r="F11">
            <v>1</v>
          </cell>
        </row>
        <row r="12">
          <cell r="F12">
            <v>1</v>
          </cell>
        </row>
        <row r="13">
          <cell r="F13">
            <v>1</v>
          </cell>
        </row>
        <row r="14">
          <cell r="F14">
            <v>1</v>
          </cell>
        </row>
        <row r="15">
          <cell r="F15">
            <v>1</v>
          </cell>
        </row>
        <row r="16">
          <cell r="F16">
            <v>1</v>
          </cell>
        </row>
        <row r="17">
          <cell r="F17">
            <v>1</v>
          </cell>
        </row>
        <row r="18">
          <cell r="F18">
            <v>1</v>
          </cell>
        </row>
        <row r="19">
          <cell r="F19">
            <v>1</v>
          </cell>
        </row>
        <row r="20">
          <cell r="F20">
            <v>1</v>
          </cell>
        </row>
        <row r="21">
          <cell r="F21">
            <v>1</v>
          </cell>
        </row>
        <row r="22">
          <cell r="F22">
            <v>1</v>
          </cell>
        </row>
        <row r="23">
          <cell r="F23">
            <v>1</v>
          </cell>
        </row>
        <row r="24">
          <cell r="F24">
            <v>2</v>
          </cell>
        </row>
        <row r="25">
          <cell r="F25">
            <v>1</v>
          </cell>
        </row>
        <row r="26">
          <cell r="F26">
            <v>1</v>
          </cell>
        </row>
        <row r="27">
          <cell r="F27">
            <v>4</v>
          </cell>
        </row>
        <row r="28">
          <cell r="F28">
            <v>1</v>
          </cell>
        </row>
        <row r="29">
          <cell r="F29">
            <v>1</v>
          </cell>
        </row>
        <row r="30">
          <cell r="F30">
            <v>1</v>
          </cell>
        </row>
        <row r="31">
          <cell r="F31">
            <v>2</v>
          </cell>
        </row>
        <row r="32">
          <cell r="F32">
            <v>3</v>
          </cell>
        </row>
        <row r="33">
          <cell r="F33">
            <v>2</v>
          </cell>
        </row>
        <row r="34">
          <cell r="F34">
            <v>3</v>
          </cell>
        </row>
        <row r="35">
          <cell r="F35">
            <v>1</v>
          </cell>
        </row>
        <row r="36">
          <cell r="F36">
            <v>1</v>
          </cell>
        </row>
        <row r="37">
          <cell r="F37">
            <v>2</v>
          </cell>
        </row>
        <row r="38">
          <cell r="F38">
            <v>1</v>
          </cell>
        </row>
        <row r="39">
          <cell r="F39">
            <v>2</v>
          </cell>
        </row>
        <row r="40">
          <cell r="F40">
            <v>1</v>
          </cell>
        </row>
        <row r="41">
          <cell r="F41">
            <v>1</v>
          </cell>
        </row>
        <row r="42">
          <cell r="F42">
            <v>1</v>
          </cell>
        </row>
        <row r="43">
          <cell r="F43">
            <v>1</v>
          </cell>
        </row>
        <row r="44">
          <cell r="F44">
            <v>1</v>
          </cell>
        </row>
        <row r="45">
          <cell r="F45">
            <v>3</v>
          </cell>
        </row>
        <row r="46">
          <cell r="F46">
            <v>2</v>
          </cell>
        </row>
        <row r="47">
          <cell r="F47">
            <v>2</v>
          </cell>
        </row>
        <row r="48">
          <cell r="F48">
            <v>1</v>
          </cell>
        </row>
        <row r="49">
          <cell r="F49">
            <v>1</v>
          </cell>
        </row>
        <row r="50">
          <cell r="F50">
            <v>2</v>
          </cell>
        </row>
        <row r="51">
          <cell r="F51">
            <v>1</v>
          </cell>
        </row>
        <row r="52">
          <cell r="F52">
            <v>1</v>
          </cell>
        </row>
        <row r="53">
          <cell r="F53">
            <v>1</v>
          </cell>
        </row>
        <row r="54">
          <cell r="F54">
            <v>1</v>
          </cell>
        </row>
        <row r="55">
          <cell r="F55">
            <v>1</v>
          </cell>
        </row>
        <row r="56">
          <cell r="F56">
            <v>1</v>
          </cell>
        </row>
        <row r="57">
          <cell r="F57">
            <v>1</v>
          </cell>
        </row>
        <row r="58">
          <cell r="F58">
            <v>1</v>
          </cell>
        </row>
        <row r="59">
          <cell r="F59">
            <v>1</v>
          </cell>
        </row>
        <row r="60">
          <cell r="F60">
            <v>1</v>
          </cell>
        </row>
        <row r="61">
          <cell r="F61">
            <v>1</v>
          </cell>
        </row>
        <row r="62">
          <cell r="F62">
            <v>1</v>
          </cell>
        </row>
        <row r="63">
          <cell r="F63">
            <v>1</v>
          </cell>
        </row>
        <row r="64">
          <cell r="F64">
            <v>1</v>
          </cell>
        </row>
        <row r="65">
          <cell r="F65">
            <v>1</v>
          </cell>
        </row>
        <row r="66">
          <cell r="F66">
            <v>1</v>
          </cell>
        </row>
        <row r="67">
          <cell r="F67">
            <v>1</v>
          </cell>
        </row>
        <row r="68">
          <cell r="F68">
            <v>1</v>
          </cell>
        </row>
        <row r="69">
          <cell r="F69">
            <v>1</v>
          </cell>
        </row>
        <row r="70">
          <cell r="F70">
            <v>2</v>
          </cell>
        </row>
        <row r="71">
          <cell r="F71">
            <v>2</v>
          </cell>
        </row>
        <row r="72">
          <cell r="F72">
            <v>2</v>
          </cell>
        </row>
        <row r="73">
          <cell r="F73">
            <v>2</v>
          </cell>
        </row>
        <row r="74">
          <cell r="F74">
            <v>2</v>
          </cell>
        </row>
        <row r="75">
          <cell r="F75">
            <v>2</v>
          </cell>
        </row>
        <row r="76">
          <cell r="F76">
            <v>2</v>
          </cell>
        </row>
        <row r="77">
          <cell r="F77">
            <v>1</v>
          </cell>
        </row>
        <row r="78">
          <cell r="F78">
            <v>1</v>
          </cell>
        </row>
        <row r="79">
          <cell r="F79">
            <v>2</v>
          </cell>
        </row>
        <row r="80">
          <cell r="F80">
            <v>1</v>
          </cell>
        </row>
        <row r="81">
          <cell r="F81">
            <v>2</v>
          </cell>
        </row>
        <row r="82">
          <cell r="F82">
            <v>1</v>
          </cell>
        </row>
        <row r="83">
          <cell r="F83">
            <v>2</v>
          </cell>
        </row>
        <row r="84">
          <cell r="F84">
            <v>1</v>
          </cell>
        </row>
        <row r="85">
          <cell r="F85">
            <v>1</v>
          </cell>
        </row>
        <row r="86">
          <cell r="F86">
            <v>2</v>
          </cell>
        </row>
        <row r="87">
          <cell r="F87">
            <v>1</v>
          </cell>
        </row>
        <row r="88">
          <cell r="F88">
            <v>1</v>
          </cell>
        </row>
        <row r="89">
          <cell r="F89">
            <v>1</v>
          </cell>
        </row>
        <row r="90">
          <cell r="F90">
            <v>1</v>
          </cell>
        </row>
        <row r="91">
          <cell r="F91">
            <v>1</v>
          </cell>
        </row>
        <row r="92">
          <cell r="F92">
            <v>1</v>
          </cell>
        </row>
        <row r="93">
          <cell r="F93">
            <v>1</v>
          </cell>
        </row>
        <row r="94">
          <cell r="F94">
            <v>2</v>
          </cell>
        </row>
        <row r="95">
          <cell r="F95">
            <v>1</v>
          </cell>
        </row>
        <row r="96">
          <cell r="F96">
            <v>1</v>
          </cell>
        </row>
        <row r="97">
          <cell r="F97">
            <v>1</v>
          </cell>
        </row>
        <row r="98">
          <cell r="F98">
            <v>1</v>
          </cell>
        </row>
        <row r="99">
          <cell r="F99">
            <v>1</v>
          </cell>
        </row>
        <row r="100">
          <cell r="F100">
            <v>1</v>
          </cell>
        </row>
        <row r="101">
          <cell r="F101">
            <v>1</v>
          </cell>
        </row>
        <row r="102">
          <cell r="F102">
            <v>1</v>
          </cell>
        </row>
        <row r="103">
          <cell r="F103">
            <v>1</v>
          </cell>
        </row>
        <row r="104">
          <cell r="F104">
            <v>1</v>
          </cell>
        </row>
        <row r="105">
          <cell r="F105">
            <v>1</v>
          </cell>
        </row>
        <row r="106">
          <cell r="F106">
            <v>1</v>
          </cell>
        </row>
        <row r="107">
          <cell r="F107">
            <v>2</v>
          </cell>
        </row>
        <row r="108">
          <cell r="F108">
            <v>2</v>
          </cell>
        </row>
        <row r="109">
          <cell r="F109">
            <v>1</v>
          </cell>
        </row>
        <row r="110">
          <cell r="F110">
            <v>1</v>
          </cell>
        </row>
        <row r="111">
          <cell r="F111">
            <v>1</v>
          </cell>
        </row>
        <row r="112">
          <cell r="F112">
            <v>1</v>
          </cell>
        </row>
        <row r="113">
          <cell r="F113">
            <v>1</v>
          </cell>
        </row>
        <row r="114">
          <cell r="F114">
            <v>1</v>
          </cell>
        </row>
        <row r="115">
          <cell r="F115">
            <v>1</v>
          </cell>
        </row>
        <row r="116">
          <cell r="F116">
            <v>1</v>
          </cell>
        </row>
        <row r="117">
          <cell r="F117">
            <v>1</v>
          </cell>
        </row>
        <row r="118">
          <cell r="F118">
            <v>1</v>
          </cell>
        </row>
        <row r="119">
          <cell r="F119">
            <v>1</v>
          </cell>
        </row>
        <row r="120">
          <cell r="F120">
            <v>1</v>
          </cell>
        </row>
        <row r="121">
          <cell r="F121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BI_REPORT"/>
    </sheetNames>
    <sheetDataSet>
      <sheetData sheetId="0">
        <row r="1">
          <cell r="P1" t="str">
            <v>total_credit_limit</v>
          </cell>
          <cell r="Q1" t="str">
            <v>utilized_credit</v>
          </cell>
        </row>
        <row r="2">
          <cell r="A2">
            <v>1</v>
          </cell>
          <cell r="B2" t="str">
            <v>SBI Main Branch Mumbai</v>
          </cell>
          <cell r="C2" t="str">
            <v>Mumbai</v>
          </cell>
          <cell r="D2" t="str">
            <v>Maharashtra</v>
          </cell>
          <cell r="E2" t="str">
            <v>Western Region</v>
          </cell>
          <cell r="F2">
            <v>1</v>
          </cell>
          <cell r="G2">
            <v>2</v>
          </cell>
          <cell r="H2">
            <v>1535000.5</v>
          </cell>
          <cell r="I2">
            <v>1</v>
          </cell>
          <cell r="J2">
            <v>4500000</v>
          </cell>
          <cell r="K2">
            <v>3850000</v>
          </cell>
          <cell r="L2">
            <v>1</v>
          </cell>
          <cell r="M2">
            <v>500000</v>
          </cell>
          <cell r="N2">
            <v>532500</v>
          </cell>
          <cell r="O2">
            <v>1</v>
          </cell>
          <cell r="P2">
            <v>500000</v>
          </cell>
          <cell r="Q2">
            <v>75000</v>
          </cell>
          <cell r="R2">
            <v>15</v>
          </cell>
          <cell r="S2">
            <v>1</v>
          </cell>
          <cell r="T2">
            <v>25000</v>
          </cell>
          <cell r="U2">
            <v>1</v>
          </cell>
          <cell r="V2">
            <v>1</v>
          </cell>
        </row>
        <row r="3">
          <cell r="A3">
            <v>2</v>
          </cell>
          <cell r="B3" t="str">
            <v>SBI Fort Branch</v>
          </cell>
          <cell r="C3" t="str">
            <v>Mumbai</v>
          </cell>
          <cell r="D3" t="str">
            <v>Maharashtra</v>
          </cell>
          <cell r="E3" t="str">
            <v>Western Region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str">
            <v>NULL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</row>
        <row r="4">
          <cell r="A4">
            <v>3</v>
          </cell>
          <cell r="B4" t="str">
            <v>SBI Andheri Branch</v>
          </cell>
          <cell r="C4" t="str">
            <v>Mumbai</v>
          </cell>
          <cell r="D4" t="str">
            <v>Maharashtra</v>
          </cell>
          <cell r="E4" t="str">
            <v>Western Region</v>
          </cell>
          <cell r="F4">
            <v>1</v>
          </cell>
          <cell r="G4">
            <v>1</v>
          </cell>
          <cell r="H4">
            <v>95500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str">
            <v>NULL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</row>
        <row r="5">
          <cell r="A5">
            <v>4</v>
          </cell>
          <cell r="B5" t="str">
            <v>SBI Bandra Branch</v>
          </cell>
          <cell r="C5" t="str">
            <v>Mumbai</v>
          </cell>
          <cell r="D5" t="str">
            <v>Maharashtra</v>
          </cell>
          <cell r="E5" t="str">
            <v>Western Region</v>
          </cell>
          <cell r="F5">
            <v>1</v>
          </cell>
          <cell r="G5">
            <v>1</v>
          </cell>
          <cell r="H5">
            <v>142500.75</v>
          </cell>
          <cell r="I5">
            <v>1</v>
          </cell>
          <cell r="J5">
            <v>300000</v>
          </cell>
          <cell r="K5">
            <v>262500</v>
          </cell>
          <cell r="L5">
            <v>1</v>
          </cell>
          <cell r="M5">
            <v>180000</v>
          </cell>
          <cell r="N5">
            <v>191250</v>
          </cell>
          <cell r="O5">
            <v>1</v>
          </cell>
          <cell r="P5">
            <v>65000</v>
          </cell>
          <cell r="Q5">
            <v>13000</v>
          </cell>
          <cell r="R5">
            <v>20</v>
          </cell>
          <cell r="S5">
            <v>1</v>
          </cell>
          <cell r="T5">
            <v>10500</v>
          </cell>
          <cell r="U5">
            <v>1</v>
          </cell>
          <cell r="V5">
            <v>1</v>
          </cell>
        </row>
        <row r="6">
          <cell r="A6">
            <v>5</v>
          </cell>
          <cell r="B6" t="str">
            <v>SBI Pune Camp Branch</v>
          </cell>
          <cell r="C6" t="str">
            <v>Pune</v>
          </cell>
          <cell r="D6" t="str">
            <v>Maharashtra</v>
          </cell>
          <cell r="E6" t="str">
            <v>Western Region</v>
          </cell>
          <cell r="F6">
            <v>2</v>
          </cell>
          <cell r="G6">
            <v>2</v>
          </cell>
          <cell r="H6">
            <v>3370000</v>
          </cell>
          <cell r="I6">
            <v>1</v>
          </cell>
          <cell r="J6">
            <v>850000</v>
          </cell>
          <cell r="K6">
            <v>425000</v>
          </cell>
          <cell r="L6">
            <v>1</v>
          </cell>
          <cell r="M6">
            <v>1000000</v>
          </cell>
          <cell r="N6">
            <v>1143563</v>
          </cell>
          <cell r="O6">
            <v>1</v>
          </cell>
          <cell r="P6">
            <v>300000</v>
          </cell>
          <cell r="Q6">
            <v>35000</v>
          </cell>
          <cell r="R6">
            <v>11.67</v>
          </cell>
          <cell r="S6">
            <v>1</v>
          </cell>
          <cell r="T6">
            <v>50000</v>
          </cell>
          <cell r="U6">
            <v>2</v>
          </cell>
          <cell r="V6">
            <v>2</v>
          </cell>
        </row>
        <row r="7">
          <cell r="A7">
            <v>6</v>
          </cell>
          <cell r="B7" t="str">
            <v>SBI Shivajinagar Pune</v>
          </cell>
          <cell r="C7" t="str">
            <v>Pune</v>
          </cell>
          <cell r="D7" t="str">
            <v>Maharashtra</v>
          </cell>
          <cell r="E7" t="str">
            <v>Western Region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str">
            <v>NULL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</row>
        <row r="8">
          <cell r="A8">
            <v>7</v>
          </cell>
          <cell r="B8" t="str">
            <v>SBI Nagpur Main</v>
          </cell>
          <cell r="C8" t="str">
            <v>Nagpur</v>
          </cell>
          <cell r="D8" t="str">
            <v>Maharashtra</v>
          </cell>
          <cell r="E8" t="str">
            <v>Western Region</v>
          </cell>
          <cell r="F8">
            <v>1</v>
          </cell>
          <cell r="G8">
            <v>1</v>
          </cell>
          <cell r="H8">
            <v>1925000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str">
            <v>NULL</v>
          </cell>
          <cell r="S8">
            <v>0</v>
          </cell>
          <cell r="T8">
            <v>0</v>
          </cell>
          <cell r="U8">
            <v>1</v>
          </cell>
          <cell r="V8">
            <v>1</v>
          </cell>
        </row>
        <row r="9">
          <cell r="A9">
            <v>8</v>
          </cell>
          <cell r="B9" t="str">
            <v>SBI Connaught Place Delhi</v>
          </cell>
          <cell r="C9" t="str">
            <v>New Delhi</v>
          </cell>
          <cell r="D9" t="str">
            <v>Delhi</v>
          </cell>
          <cell r="E9" t="str">
            <v>Northern Region</v>
          </cell>
          <cell r="F9">
            <v>1</v>
          </cell>
          <cell r="G9">
            <v>2</v>
          </cell>
          <cell r="H9">
            <v>500000</v>
          </cell>
          <cell r="I9">
            <v>1</v>
          </cell>
          <cell r="J9">
            <v>500000</v>
          </cell>
          <cell r="K9">
            <v>312500</v>
          </cell>
          <cell r="L9">
            <v>1</v>
          </cell>
          <cell r="M9">
            <v>250000</v>
          </cell>
          <cell r="N9">
            <v>257813</v>
          </cell>
          <cell r="O9">
            <v>1</v>
          </cell>
          <cell r="P9">
            <v>150000</v>
          </cell>
          <cell r="Q9">
            <v>22000</v>
          </cell>
          <cell r="R9">
            <v>14.67</v>
          </cell>
          <cell r="S9">
            <v>1</v>
          </cell>
          <cell r="T9">
            <v>18000</v>
          </cell>
          <cell r="U9">
            <v>1</v>
          </cell>
          <cell r="V9">
            <v>1</v>
          </cell>
        </row>
        <row r="10">
          <cell r="A10">
            <v>9</v>
          </cell>
          <cell r="B10" t="str">
            <v>SBI Karol Bagh Delhi</v>
          </cell>
          <cell r="C10" t="str">
            <v>New Delhi</v>
          </cell>
          <cell r="D10" t="str">
            <v>Delhi</v>
          </cell>
          <cell r="E10" t="str">
            <v>Northern Region</v>
          </cell>
          <cell r="F10">
            <v>1</v>
          </cell>
          <cell r="G10">
            <v>1</v>
          </cell>
          <cell r="H10">
            <v>52500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str">
            <v>NULL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A11">
            <v>10</v>
          </cell>
          <cell r="B11" t="str">
            <v>SBI Dwarka Delhi</v>
          </cell>
          <cell r="C11" t="str">
            <v>New Delhi</v>
          </cell>
          <cell r="D11" t="str">
            <v>Delhi</v>
          </cell>
          <cell r="E11" t="str">
            <v>Northern Region</v>
          </cell>
          <cell r="F11">
            <v>1</v>
          </cell>
          <cell r="G11">
            <v>1</v>
          </cell>
          <cell r="H11">
            <v>245000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str">
            <v>NULL</v>
          </cell>
          <cell r="S11">
            <v>0</v>
          </cell>
          <cell r="T11">
            <v>0</v>
          </cell>
          <cell r="U11">
            <v>1</v>
          </cell>
          <cell r="V11">
            <v>1</v>
          </cell>
        </row>
        <row r="12">
          <cell r="A12">
            <v>11</v>
          </cell>
          <cell r="B12" t="str">
            <v>SBI MG Road Bengaluru</v>
          </cell>
          <cell r="C12" t="str">
            <v>Bengaluru</v>
          </cell>
          <cell r="D12" t="str">
            <v>Karnataka</v>
          </cell>
          <cell r="E12" t="str">
            <v>Southern Region</v>
          </cell>
          <cell r="F12">
            <v>1</v>
          </cell>
          <cell r="G12">
            <v>1</v>
          </cell>
          <cell r="H12">
            <v>78500.25</v>
          </cell>
          <cell r="I12">
            <v>1</v>
          </cell>
          <cell r="J12">
            <v>68000</v>
          </cell>
          <cell r="K12">
            <v>62333</v>
          </cell>
          <cell r="L12">
            <v>1</v>
          </cell>
          <cell r="M12">
            <v>350000</v>
          </cell>
          <cell r="N12">
            <v>372750</v>
          </cell>
          <cell r="O12">
            <v>1</v>
          </cell>
          <cell r="P12">
            <v>45000</v>
          </cell>
          <cell r="Q12">
            <v>7000</v>
          </cell>
          <cell r="R12">
            <v>15.56</v>
          </cell>
          <cell r="S12">
            <v>1</v>
          </cell>
          <cell r="T12">
            <v>5200</v>
          </cell>
          <cell r="U12">
            <v>1</v>
          </cell>
          <cell r="V12">
            <v>1</v>
          </cell>
        </row>
        <row r="13">
          <cell r="A13">
            <v>12</v>
          </cell>
          <cell r="B13" t="str">
            <v>SBI Koramangala</v>
          </cell>
          <cell r="C13" t="str">
            <v>Bengaluru</v>
          </cell>
          <cell r="D13" t="str">
            <v>Karnataka</v>
          </cell>
          <cell r="E13" t="str">
            <v>Southern Region</v>
          </cell>
          <cell r="F13">
            <v>1</v>
          </cell>
          <cell r="G13">
            <v>1</v>
          </cell>
          <cell r="H13">
            <v>118000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str">
            <v>NULL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A14">
            <v>13</v>
          </cell>
          <cell r="B14" t="str">
            <v>SBI Whitefield</v>
          </cell>
          <cell r="C14" t="str">
            <v>Bengaluru</v>
          </cell>
          <cell r="D14" t="str">
            <v>Karnataka</v>
          </cell>
          <cell r="E14" t="str">
            <v>Southern Region</v>
          </cell>
          <cell r="F14">
            <v>1</v>
          </cell>
          <cell r="G14">
            <v>1</v>
          </cell>
          <cell r="H14">
            <v>268000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str">
            <v>NULL</v>
          </cell>
          <cell r="S14">
            <v>0</v>
          </cell>
          <cell r="T14">
            <v>0</v>
          </cell>
          <cell r="U14">
            <v>1</v>
          </cell>
          <cell r="V14">
            <v>1</v>
          </cell>
        </row>
        <row r="15">
          <cell r="A15">
            <v>14</v>
          </cell>
          <cell r="B15" t="str">
            <v>SBI Chennai Main</v>
          </cell>
          <cell r="C15" t="str">
            <v>Chennai</v>
          </cell>
          <cell r="D15" t="str">
            <v>Tamil Nadu</v>
          </cell>
          <cell r="E15" t="str">
            <v>Southern Region</v>
          </cell>
          <cell r="F15">
            <v>1</v>
          </cell>
          <cell r="G15">
            <v>1</v>
          </cell>
          <cell r="H15">
            <v>45200.5</v>
          </cell>
          <cell r="I15">
            <v>1</v>
          </cell>
          <cell r="J15">
            <v>420000</v>
          </cell>
          <cell r="K15">
            <v>385000</v>
          </cell>
          <cell r="L15">
            <v>1</v>
          </cell>
          <cell r="M15">
            <v>120000</v>
          </cell>
          <cell r="N15">
            <v>123750</v>
          </cell>
          <cell r="O15">
            <v>1</v>
          </cell>
          <cell r="P15">
            <v>40000</v>
          </cell>
          <cell r="Q15">
            <v>8000</v>
          </cell>
          <cell r="R15">
            <v>20</v>
          </cell>
          <cell r="S15">
            <v>1</v>
          </cell>
          <cell r="T15">
            <v>8500</v>
          </cell>
          <cell r="U15">
            <v>1</v>
          </cell>
          <cell r="V15">
            <v>1</v>
          </cell>
        </row>
        <row r="16">
          <cell r="A16">
            <v>15</v>
          </cell>
          <cell r="B16" t="str">
            <v>SBI T Nagar Chennai</v>
          </cell>
          <cell r="C16" t="str">
            <v>Chennai</v>
          </cell>
          <cell r="D16" t="str">
            <v>Tamil Nadu</v>
          </cell>
          <cell r="E16" t="str">
            <v>Southern Region</v>
          </cell>
          <cell r="F16">
            <v>1</v>
          </cell>
          <cell r="G16">
            <v>1</v>
          </cell>
          <cell r="H16">
            <v>72500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str">
            <v>NULL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A17">
            <v>16</v>
          </cell>
          <cell r="B17" t="str">
            <v>SBI Ahmedabad Main</v>
          </cell>
          <cell r="C17" t="str">
            <v>Ahmedabad</v>
          </cell>
          <cell r="D17" t="str">
            <v>Gujarat</v>
          </cell>
          <cell r="E17" t="str">
            <v>Western Region</v>
          </cell>
          <cell r="F17">
            <v>1</v>
          </cell>
          <cell r="G17">
            <v>1</v>
          </cell>
          <cell r="H17">
            <v>28750</v>
          </cell>
          <cell r="I17">
            <v>1</v>
          </cell>
          <cell r="J17">
            <v>45000</v>
          </cell>
          <cell r="K17">
            <v>35000</v>
          </cell>
          <cell r="L17">
            <v>1</v>
          </cell>
          <cell r="M17">
            <v>200000</v>
          </cell>
          <cell r="N17">
            <v>213000</v>
          </cell>
          <cell r="O17">
            <v>1</v>
          </cell>
          <cell r="P17">
            <v>55000</v>
          </cell>
          <cell r="Q17">
            <v>10000</v>
          </cell>
          <cell r="R17">
            <v>18.18</v>
          </cell>
          <cell r="S17">
            <v>1</v>
          </cell>
          <cell r="T17">
            <v>4800</v>
          </cell>
          <cell r="U17">
            <v>1</v>
          </cell>
          <cell r="V17">
            <v>1</v>
          </cell>
        </row>
        <row r="18">
          <cell r="A18">
            <v>17</v>
          </cell>
          <cell r="B18" t="str">
            <v>SBI CG Road Ahmedabad</v>
          </cell>
          <cell r="C18" t="str">
            <v>Ahmedabad</v>
          </cell>
          <cell r="D18" t="str">
            <v>Gujarat</v>
          </cell>
          <cell r="E18" t="str">
            <v>Western Region</v>
          </cell>
          <cell r="F18">
            <v>1</v>
          </cell>
          <cell r="G18">
            <v>1</v>
          </cell>
          <cell r="H18">
            <v>585000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str">
            <v>NULL</v>
          </cell>
          <cell r="S18">
            <v>0</v>
          </cell>
          <cell r="T18">
            <v>0</v>
          </cell>
          <cell r="U18">
            <v>1</v>
          </cell>
          <cell r="V18">
            <v>1</v>
          </cell>
        </row>
        <row r="19">
          <cell r="A19">
            <v>18</v>
          </cell>
          <cell r="B19" t="str">
            <v>SBI Surat Main</v>
          </cell>
          <cell r="C19" t="str">
            <v>Surat</v>
          </cell>
          <cell r="D19" t="str">
            <v>Gujarat</v>
          </cell>
          <cell r="E19" t="str">
            <v>Western Region</v>
          </cell>
          <cell r="F19">
            <v>1</v>
          </cell>
          <cell r="G19">
            <v>1</v>
          </cell>
          <cell r="H19">
            <v>108000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str">
            <v>NULL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A20">
            <v>19</v>
          </cell>
          <cell r="B20" t="str">
            <v>SBI Kolkata Main</v>
          </cell>
          <cell r="C20" t="str">
            <v>Kolkata</v>
          </cell>
          <cell r="D20" t="str">
            <v>West Bengal</v>
          </cell>
          <cell r="E20" t="str">
            <v>Eastern Region</v>
          </cell>
          <cell r="F20">
            <v>1</v>
          </cell>
          <cell r="G20">
            <v>2</v>
          </cell>
          <cell r="H20">
            <v>5750000</v>
          </cell>
          <cell r="I20">
            <v>1</v>
          </cell>
          <cell r="J20">
            <v>2500000</v>
          </cell>
          <cell r="K20">
            <v>1575000</v>
          </cell>
          <cell r="L20">
            <v>1</v>
          </cell>
          <cell r="M20">
            <v>5000000</v>
          </cell>
          <cell r="N20">
            <v>7136719</v>
          </cell>
          <cell r="O20">
            <v>1</v>
          </cell>
          <cell r="P20">
            <v>1500000</v>
          </cell>
          <cell r="Q20">
            <v>150000</v>
          </cell>
          <cell r="R20">
            <v>10</v>
          </cell>
          <cell r="S20">
            <v>1</v>
          </cell>
          <cell r="T20">
            <v>75000</v>
          </cell>
          <cell r="U20">
            <v>1</v>
          </cell>
          <cell r="V20">
            <v>1</v>
          </cell>
        </row>
        <row r="21">
          <cell r="A21">
            <v>20</v>
          </cell>
          <cell r="B21" t="str">
            <v>SBI Salt Lake Kolkata</v>
          </cell>
          <cell r="C21" t="str">
            <v>Kolkata</v>
          </cell>
          <cell r="D21" t="str">
            <v>West Bengal</v>
          </cell>
          <cell r="E21" t="str">
            <v>Eastern Region</v>
          </cell>
          <cell r="F21">
            <v>1</v>
          </cell>
          <cell r="G21">
            <v>1</v>
          </cell>
          <cell r="H21">
            <v>425000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str">
            <v>NULL</v>
          </cell>
          <cell r="S21">
            <v>0</v>
          </cell>
          <cell r="T21">
            <v>0</v>
          </cell>
          <cell r="U21">
            <v>1</v>
          </cell>
          <cell r="V21">
            <v>1</v>
          </cell>
        </row>
        <row r="22">
          <cell r="A22">
            <v>21</v>
          </cell>
          <cell r="B22" t="str">
            <v>SBI Lucknow Main</v>
          </cell>
          <cell r="C22" t="str">
            <v>Lucknow</v>
          </cell>
          <cell r="D22" t="str">
            <v>Uttar Pradesh</v>
          </cell>
          <cell r="E22" t="str">
            <v>Northern Region</v>
          </cell>
          <cell r="F22">
            <v>1</v>
          </cell>
          <cell r="G22">
            <v>1</v>
          </cell>
          <cell r="H22">
            <v>95000</v>
          </cell>
          <cell r="I22">
            <v>1</v>
          </cell>
          <cell r="J22">
            <v>280000</v>
          </cell>
          <cell r="K22">
            <v>256667</v>
          </cell>
          <cell r="L22">
            <v>1</v>
          </cell>
          <cell r="M22">
            <v>280000</v>
          </cell>
          <cell r="N22">
            <v>307699</v>
          </cell>
          <cell r="O22">
            <v>1</v>
          </cell>
          <cell r="P22">
            <v>48000</v>
          </cell>
          <cell r="Q22">
            <v>8000</v>
          </cell>
          <cell r="R22">
            <v>16.67</v>
          </cell>
          <cell r="S22">
            <v>1</v>
          </cell>
          <cell r="T22">
            <v>12500</v>
          </cell>
          <cell r="U22">
            <v>1</v>
          </cell>
          <cell r="V22">
            <v>1</v>
          </cell>
        </row>
        <row r="23">
          <cell r="A23">
            <v>22</v>
          </cell>
          <cell r="B23" t="str">
            <v>SBI Gomti Nagar</v>
          </cell>
          <cell r="C23" t="str">
            <v>Lucknow</v>
          </cell>
          <cell r="D23" t="str">
            <v>Uttar Pradesh</v>
          </cell>
          <cell r="E23" t="str">
            <v>Northern Region</v>
          </cell>
          <cell r="F23">
            <v>1</v>
          </cell>
          <cell r="G23">
            <v>1</v>
          </cell>
          <cell r="H23">
            <v>38500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str">
            <v>NULL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A24">
            <v>23</v>
          </cell>
          <cell r="B24" t="str">
            <v>SBI Jaipur Main</v>
          </cell>
          <cell r="C24" t="str">
            <v>Jaipur</v>
          </cell>
          <cell r="D24" t="str">
            <v>Rajasthan</v>
          </cell>
          <cell r="E24" t="str">
            <v>Northern Region</v>
          </cell>
          <cell r="F24">
            <v>2</v>
          </cell>
          <cell r="G24">
            <v>2</v>
          </cell>
          <cell r="H24">
            <v>317000.5</v>
          </cell>
          <cell r="I24">
            <v>1</v>
          </cell>
          <cell r="J24">
            <v>1200000</v>
          </cell>
          <cell r="K24">
            <v>720000</v>
          </cell>
          <cell r="L24">
            <v>1</v>
          </cell>
          <cell r="M24">
            <v>350000</v>
          </cell>
          <cell r="N24">
            <v>372750</v>
          </cell>
          <cell r="O24">
            <v>1</v>
          </cell>
          <cell r="P24">
            <v>100000</v>
          </cell>
          <cell r="Q24">
            <v>15000</v>
          </cell>
          <cell r="R24">
            <v>15</v>
          </cell>
          <cell r="S24">
            <v>1</v>
          </cell>
          <cell r="T24">
            <v>28000</v>
          </cell>
          <cell r="U24">
            <v>2</v>
          </cell>
          <cell r="V24">
            <v>2</v>
          </cell>
        </row>
        <row r="25">
          <cell r="A25">
            <v>24</v>
          </cell>
          <cell r="B25" t="str">
            <v>SBI Vaishali Nagar Jaipur</v>
          </cell>
          <cell r="C25" t="str">
            <v>Jaipur</v>
          </cell>
          <cell r="D25" t="str">
            <v>Rajasthan</v>
          </cell>
          <cell r="E25" t="str">
            <v>Northern Region</v>
          </cell>
          <cell r="F25">
            <v>1</v>
          </cell>
          <cell r="G25">
            <v>1</v>
          </cell>
          <cell r="H25">
            <v>1685000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str">
            <v>NULL</v>
          </cell>
          <cell r="S25">
            <v>0</v>
          </cell>
          <cell r="T25">
            <v>0</v>
          </cell>
          <cell r="U25">
            <v>1</v>
          </cell>
          <cell r="V25">
            <v>1</v>
          </cell>
        </row>
        <row r="26">
          <cell r="A26">
            <v>25</v>
          </cell>
          <cell r="B26" t="str">
            <v>SBI Bhopal Main</v>
          </cell>
          <cell r="C26" t="str">
            <v>Bhopal</v>
          </cell>
          <cell r="D26" t="str">
            <v>Madhya Pradesh</v>
          </cell>
          <cell r="E26" t="str">
            <v>Central Region</v>
          </cell>
          <cell r="F26">
            <v>1</v>
          </cell>
          <cell r="G26">
            <v>1</v>
          </cell>
          <cell r="H26">
            <v>165000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str">
            <v>NULL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A27">
            <v>26</v>
          </cell>
          <cell r="B27" t="str">
            <v>SBI Hyderabad Main</v>
          </cell>
          <cell r="C27" t="str">
            <v>Hyderabad</v>
          </cell>
          <cell r="D27" t="str">
            <v>Telangana</v>
          </cell>
          <cell r="E27" t="str">
            <v>Southern Region</v>
          </cell>
          <cell r="F27">
            <v>4</v>
          </cell>
          <cell r="G27">
            <v>1</v>
          </cell>
          <cell r="H27">
            <v>62000</v>
          </cell>
          <cell r="I27">
            <v>1</v>
          </cell>
          <cell r="J27">
            <v>72000</v>
          </cell>
          <cell r="K27">
            <v>68000</v>
          </cell>
          <cell r="L27">
            <v>1</v>
          </cell>
          <cell r="M27">
            <v>150000</v>
          </cell>
          <cell r="N27">
            <v>159375</v>
          </cell>
          <cell r="O27">
            <v>1</v>
          </cell>
          <cell r="P27">
            <v>70000</v>
          </cell>
          <cell r="Q27">
            <v>12000</v>
          </cell>
          <cell r="R27">
            <v>17.14</v>
          </cell>
          <cell r="S27">
            <v>1</v>
          </cell>
          <cell r="T27">
            <v>5500</v>
          </cell>
          <cell r="U27">
            <v>2</v>
          </cell>
          <cell r="V27">
            <v>2</v>
          </cell>
        </row>
        <row r="28">
          <cell r="A28">
            <v>27</v>
          </cell>
          <cell r="B28" t="str">
            <v>SBI Banjara Hills</v>
          </cell>
          <cell r="C28" t="str">
            <v>Hyderabad</v>
          </cell>
          <cell r="D28" t="str">
            <v>Telangana</v>
          </cell>
          <cell r="E28" t="str">
            <v>Southern Region</v>
          </cell>
          <cell r="F28">
            <v>1</v>
          </cell>
          <cell r="G28">
            <v>1</v>
          </cell>
          <cell r="H28">
            <v>98500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str">
            <v>NULL</v>
          </cell>
          <cell r="S28">
            <v>0</v>
          </cell>
          <cell r="T28">
            <v>0</v>
          </cell>
          <cell r="U28">
            <v>1</v>
          </cell>
          <cell r="V28">
            <v>1</v>
          </cell>
        </row>
        <row r="29">
          <cell r="A29">
            <v>28</v>
          </cell>
          <cell r="B29" t="str">
            <v>SBI HITEC City</v>
          </cell>
          <cell r="C29" t="str">
            <v>Hyderabad</v>
          </cell>
          <cell r="D29" t="str">
            <v>Telangana</v>
          </cell>
          <cell r="E29" t="str">
            <v>Southern Region</v>
          </cell>
          <cell r="F29">
            <v>1</v>
          </cell>
          <cell r="G29">
            <v>1</v>
          </cell>
          <cell r="H29">
            <v>235000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str">
            <v>NULL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A30">
            <v>29</v>
          </cell>
          <cell r="B30" t="str">
            <v>SBI Thiruvananthapuram</v>
          </cell>
          <cell r="C30" t="str">
            <v>Thiruvananthapuram</v>
          </cell>
          <cell r="D30" t="str">
            <v>Kerala</v>
          </cell>
          <cell r="E30" t="str">
            <v>Southern Region</v>
          </cell>
          <cell r="F30">
            <v>1</v>
          </cell>
          <cell r="G30">
            <v>2</v>
          </cell>
          <cell r="H30">
            <v>8300000</v>
          </cell>
          <cell r="I30">
            <v>1</v>
          </cell>
          <cell r="J30">
            <v>8500000</v>
          </cell>
          <cell r="K30">
            <v>6800000</v>
          </cell>
          <cell r="L30">
            <v>1</v>
          </cell>
          <cell r="M30">
            <v>3000000</v>
          </cell>
          <cell r="N30">
            <v>4326019</v>
          </cell>
          <cell r="O30">
            <v>1</v>
          </cell>
          <cell r="P30">
            <v>2000000</v>
          </cell>
          <cell r="Q30">
            <v>180000</v>
          </cell>
          <cell r="R30">
            <v>9</v>
          </cell>
          <cell r="S30">
            <v>1</v>
          </cell>
          <cell r="T30">
            <v>45000</v>
          </cell>
          <cell r="U30">
            <v>1</v>
          </cell>
          <cell r="V30">
            <v>1</v>
          </cell>
        </row>
        <row r="31">
          <cell r="A31">
            <v>30</v>
          </cell>
          <cell r="B31" t="str">
            <v>SBI Kochi Main</v>
          </cell>
          <cell r="C31" t="str">
            <v>Kochi</v>
          </cell>
          <cell r="D31" t="str">
            <v>Kerala</v>
          </cell>
          <cell r="E31" t="str">
            <v>Southern Region</v>
          </cell>
          <cell r="F31">
            <v>2</v>
          </cell>
          <cell r="G31">
            <v>1</v>
          </cell>
          <cell r="H31">
            <v>680000</v>
          </cell>
          <cell r="I31">
            <v>1</v>
          </cell>
          <cell r="J31">
            <v>6500000</v>
          </cell>
          <cell r="K31">
            <v>5720000</v>
          </cell>
          <cell r="L31">
            <v>1</v>
          </cell>
          <cell r="M31">
            <v>2000000</v>
          </cell>
          <cell r="N31">
            <v>2450086</v>
          </cell>
          <cell r="O31">
            <v>1</v>
          </cell>
          <cell r="P31">
            <v>750000</v>
          </cell>
          <cell r="Q31">
            <v>70000</v>
          </cell>
          <cell r="R31">
            <v>9.33</v>
          </cell>
          <cell r="S31">
            <v>1</v>
          </cell>
          <cell r="T31">
            <v>35000</v>
          </cell>
          <cell r="U31">
            <v>2</v>
          </cell>
          <cell r="V31">
            <v>2</v>
          </cell>
        </row>
        <row r="32">
          <cell r="A32">
            <v>31</v>
          </cell>
          <cell r="B32" t="str">
            <v>SBI Chandigarh Main</v>
          </cell>
          <cell r="C32" t="str">
            <v>Chandigarh</v>
          </cell>
          <cell r="D32" t="str">
            <v>Haryana</v>
          </cell>
          <cell r="E32" t="str">
            <v>Northern Region</v>
          </cell>
          <cell r="F32">
            <v>3</v>
          </cell>
          <cell r="G32">
            <v>1</v>
          </cell>
          <cell r="H32">
            <v>125000</v>
          </cell>
          <cell r="I32">
            <v>1</v>
          </cell>
          <cell r="J32">
            <v>380000</v>
          </cell>
          <cell r="K32">
            <v>355556</v>
          </cell>
          <cell r="L32">
            <v>1</v>
          </cell>
          <cell r="M32">
            <v>420000</v>
          </cell>
          <cell r="N32">
            <v>447300</v>
          </cell>
          <cell r="O32">
            <v>1</v>
          </cell>
          <cell r="P32">
            <v>52000</v>
          </cell>
          <cell r="Q32">
            <v>10000</v>
          </cell>
          <cell r="R32">
            <v>19.23</v>
          </cell>
          <cell r="S32">
            <v>1</v>
          </cell>
          <cell r="T32">
            <v>3500</v>
          </cell>
          <cell r="U32">
            <v>2</v>
          </cell>
          <cell r="V32">
            <v>2</v>
          </cell>
        </row>
        <row r="33">
          <cell r="A33">
            <v>32</v>
          </cell>
          <cell r="B33" t="str">
            <v>SBI Gurugram Cyber City</v>
          </cell>
          <cell r="C33" t="str">
            <v>Gurugram</v>
          </cell>
          <cell r="D33" t="str">
            <v>Haryana</v>
          </cell>
          <cell r="E33" t="str">
            <v>Northern Region</v>
          </cell>
          <cell r="F33">
            <v>2</v>
          </cell>
          <cell r="G33">
            <v>1</v>
          </cell>
          <cell r="H33">
            <v>188000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str">
            <v>NULL</v>
          </cell>
          <cell r="S33">
            <v>0</v>
          </cell>
          <cell r="T33">
            <v>0</v>
          </cell>
          <cell r="U33">
            <v>2</v>
          </cell>
          <cell r="V33">
            <v>2</v>
          </cell>
        </row>
        <row r="34">
          <cell r="A34">
            <v>33</v>
          </cell>
          <cell r="B34" t="str">
            <v>SBI Patna Main</v>
          </cell>
          <cell r="C34" t="str">
            <v>Patna</v>
          </cell>
          <cell r="D34" t="str">
            <v>Bihar</v>
          </cell>
          <cell r="E34" t="str">
            <v>Eastern Region</v>
          </cell>
          <cell r="F34">
            <v>3</v>
          </cell>
          <cell r="G34">
            <v>1</v>
          </cell>
          <cell r="H34">
            <v>35000</v>
          </cell>
          <cell r="I34">
            <v>1</v>
          </cell>
          <cell r="J34">
            <v>75000</v>
          </cell>
          <cell r="K34">
            <v>45000</v>
          </cell>
          <cell r="L34">
            <v>1</v>
          </cell>
          <cell r="M34">
            <v>150000</v>
          </cell>
          <cell r="N34">
            <v>159375</v>
          </cell>
          <cell r="O34">
            <v>1</v>
          </cell>
          <cell r="P34">
            <v>75000</v>
          </cell>
          <cell r="Q34">
            <v>13000</v>
          </cell>
          <cell r="R34">
            <v>17.33</v>
          </cell>
          <cell r="S34">
            <v>1</v>
          </cell>
          <cell r="T34">
            <v>12000</v>
          </cell>
          <cell r="U34">
            <v>2</v>
          </cell>
          <cell r="V34">
            <v>2</v>
          </cell>
        </row>
        <row r="35">
          <cell r="A35">
            <v>34</v>
          </cell>
          <cell r="B35" t="str">
            <v>SBI Bhubaneswar Main</v>
          </cell>
          <cell r="C35" t="str">
            <v>Bhubaneswar</v>
          </cell>
          <cell r="D35" t="str">
            <v>Odisha</v>
          </cell>
          <cell r="E35" t="str">
            <v>Eastern Region</v>
          </cell>
          <cell r="F35">
            <v>1</v>
          </cell>
          <cell r="G35">
            <v>2</v>
          </cell>
          <cell r="H35">
            <v>158000</v>
          </cell>
          <cell r="I35">
            <v>1</v>
          </cell>
          <cell r="J35">
            <v>55000</v>
          </cell>
          <cell r="K35">
            <v>48889</v>
          </cell>
          <cell r="L35">
            <v>1</v>
          </cell>
          <cell r="M35">
            <v>95000</v>
          </cell>
          <cell r="N35">
            <v>97850</v>
          </cell>
          <cell r="O35">
            <v>1</v>
          </cell>
          <cell r="P35">
            <v>50000</v>
          </cell>
          <cell r="Q35">
            <v>8000</v>
          </cell>
          <cell r="R35">
            <v>16</v>
          </cell>
          <cell r="S35">
            <v>1</v>
          </cell>
          <cell r="T35">
            <v>7800</v>
          </cell>
          <cell r="U35">
            <v>1</v>
          </cell>
          <cell r="V35">
            <v>1</v>
          </cell>
        </row>
        <row r="36">
          <cell r="A36">
            <v>35</v>
          </cell>
          <cell r="B36" t="str">
            <v>SBI Guwahati Main</v>
          </cell>
          <cell r="C36" t="str">
            <v>Guwahati</v>
          </cell>
          <cell r="D36" t="str">
            <v>Assam</v>
          </cell>
          <cell r="E36" t="str">
            <v>North-Eastern Region</v>
          </cell>
          <cell r="F36">
            <v>1</v>
          </cell>
          <cell r="G36">
            <v>2</v>
          </cell>
          <cell r="H36">
            <v>975000</v>
          </cell>
          <cell r="I36">
            <v>1</v>
          </cell>
          <cell r="J36">
            <v>1200000</v>
          </cell>
          <cell r="K36">
            <v>680000</v>
          </cell>
          <cell r="L36">
            <v>1</v>
          </cell>
          <cell r="M36">
            <v>800000</v>
          </cell>
          <cell r="N36">
            <v>912460</v>
          </cell>
          <cell r="O36">
            <v>1</v>
          </cell>
          <cell r="P36">
            <v>200000</v>
          </cell>
          <cell r="Q36">
            <v>25000</v>
          </cell>
          <cell r="R36">
            <v>12.5</v>
          </cell>
          <cell r="S36">
            <v>1</v>
          </cell>
          <cell r="T36">
            <v>22000</v>
          </cell>
          <cell r="U36">
            <v>1</v>
          </cell>
          <cell r="V36">
            <v>1</v>
          </cell>
        </row>
        <row r="37">
          <cell r="A37">
            <v>36</v>
          </cell>
          <cell r="B37" t="str">
            <v>SBI Ranchi Main</v>
          </cell>
          <cell r="C37" t="str">
            <v>Ranchi</v>
          </cell>
          <cell r="D37" t="str">
            <v>Jharkhand</v>
          </cell>
          <cell r="E37" t="str">
            <v>Eastern Region</v>
          </cell>
          <cell r="F37">
            <v>2</v>
          </cell>
          <cell r="G37">
            <v>1</v>
          </cell>
          <cell r="H37">
            <v>18000</v>
          </cell>
          <cell r="I37">
            <v>1</v>
          </cell>
          <cell r="J37">
            <v>220000</v>
          </cell>
          <cell r="K37">
            <v>211667</v>
          </cell>
          <cell r="L37">
            <v>1</v>
          </cell>
          <cell r="M37">
            <v>180000</v>
          </cell>
          <cell r="N37">
            <v>191250</v>
          </cell>
          <cell r="O37">
            <v>1</v>
          </cell>
          <cell r="P37">
            <v>38000</v>
          </cell>
          <cell r="Q37">
            <v>8000</v>
          </cell>
          <cell r="R37">
            <v>21.05</v>
          </cell>
          <cell r="S37">
            <v>1</v>
          </cell>
          <cell r="T37">
            <v>4200</v>
          </cell>
          <cell r="U37">
            <v>1</v>
          </cell>
          <cell r="V37">
            <v>1</v>
          </cell>
        </row>
        <row r="38">
          <cell r="A38">
            <v>37</v>
          </cell>
          <cell r="B38" t="str">
            <v>SBI Dehradun Main</v>
          </cell>
          <cell r="C38" t="str">
            <v>Dehradun</v>
          </cell>
          <cell r="D38" t="str">
            <v>Uttarakhand</v>
          </cell>
          <cell r="E38" t="str">
            <v>Northern Region</v>
          </cell>
          <cell r="F38">
            <v>1</v>
          </cell>
          <cell r="G38">
            <v>2</v>
          </cell>
          <cell r="H38">
            <v>478000</v>
          </cell>
          <cell r="I38">
            <v>1</v>
          </cell>
          <cell r="J38">
            <v>350000</v>
          </cell>
          <cell r="K38">
            <v>245000</v>
          </cell>
          <cell r="L38">
            <v>1</v>
          </cell>
          <cell r="M38">
            <v>450000</v>
          </cell>
          <cell r="N38">
            <v>494663</v>
          </cell>
          <cell r="O38">
            <v>1</v>
          </cell>
          <cell r="P38">
            <v>350000</v>
          </cell>
          <cell r="Q38">
            <v>40000</v>
          </cell>
          <cell r="R38">
            <v>11.43</v>
          </cell>
          <cell r="S38">
            <v>1</v>
          </cell>
          <cell r="T38">
            <v>30000</v>
          </cell>
          <cell r="U38">
            <v>1</v>
          </cell>
          <cell r="V38">
            <v>1</v>
          </cell>
        </row>
        <row r="39">
          <cell r="A39">
            <v>38</v>
          </cell>
          <cell r="B39" t="str">
            <v>SBI Nashik Main</v>
          </cell>
          <cell r="C39" t="str">
            <v>Nashik</v>
          </cell>
          <cell r="D39" t="str">
            <v>Maharashtra</v>
          </cell>
          <cell r="E39" t="str">
            <v>Western Region</v>
          </cell>
          <cell r="F39">
            <v>2</v>
          </cell>
          <cell r="G39">
            <v>1</v>
          </cell>
          <cell r="H39">
            <v>72000</v>
          </cell>
          <cell r="I39">
            <v>1</v>
          </cell>
          <cell r="J39">
            <v>65000</v>
          </cell>
          <cell r="K39">
            <v>63056</v>
          </cell>
          <cell r="L39">
            <v>1</v>
          </cell>
          <cell r="M39">
            <v>250000</v>
          </cell>
          <cell r="N39">
            <v>266250</v>
          </cell>
          <cell r="O39">
            <v>1</v>
          </cell>
          <cell r="P39">
            <v>62000</v>
          </cell>
          <cell r="Q39">
            <v>10000</v>
          </cell>
          <cell r="R39">
            <v>16.13</v>
          </cell>
          <cell r="S39">
            <v>1</v>
          </cell>
          <cell r="T39">
            <v>9200</v>
          </cell>
          <cell r="U39">
            <v>1</v>
          </cell>
          <cell r="V39">
            <v>1</v>
          </cell>
        </row>
        <row r="40">
          <cell r="A40">
            <v>39</v>
          </cell>
          <cell r="B40" t="str">
            <v>SBI Mysuru Main</v>
          </cell>
          <cell r="C40" t="str">
            <v>Mysuru</v>
          </cell>
          <cell r="D40" t="str">
            <v>Karnataka</v>
          </cell>
          <cell r="E40" t="str">
            <v>Southern Region</v>
          </cell>
          <cell r="F40">
            <v>1</v>
          </cell>
          <cell r="G40">
            <v>2</v>
          </cell>
          <cell r="H40">
            <v>5700000</v>
          </cell>
          <cell r="I40">
            <v>1</v>
          </cell>
          <cell r="J40">
            <v>5200000</v>
          </cell>
          <cell r="K40">
            <v>4160000</v>
          </cell>
          <cell r="L40">
            <v>1</v>
          </cell>
          <cell r="M40">
            <v>1500000</v>
          </cell>
          <cell r="N40">
            <v>1837628</v>
          </cell>
          <cell r="O40">
            <v>1</v>
          </cell>
          <cell r="P40">
            <v>600000</v>
          </cell>
          <cell r="Q40">
            <v>55000</v>
          </cell>
          <cell r="R40">
            <v>9.17</v>
          </cell>
          <cell r="S40">
            <v>1</v>
          </cell>
          <cell r="T40">
            <v>60000</v>
          </cell>
          <cell r="U40">
            <v>1</v>
          </cell>
          <cell r="V40">
            <v>1</v>
          </cell>
        </row>
        <row r="41">
          <cell r="A41">
            <v>40</v>
          </cell>
          <cell r="B41" t="str">
            <v>SBI Coimbatore Main</v>
          </cell>
          <cell r="C41" t="str">
            <v>Coimbatore</v>
          </cell>
          <cell r="D41" t="str">
            <v>Tamil Nadu</v>
          </cell>
          <cell r="E41" t="str">
            <v>Southern Region</v>
          </cell>
          <cell r="F41">
            <v>1</v>
          </cell>
          <cell r="G41">
            <v>1</v>
          </cell>
          <cell r="H41">
            <v>15000</v>
          </cell>
          <cell r="I41">
            <v>1</v>
          </cell>
          <cell r="J41">
            <v>500000</v>
          </cell>
          <cell r="K41">
            <v>491667</v>
          </cell>
          <cell r="L41">
            <v>1</v>
          </cell>
          <cell r="M41">
            <v>100000</v>
          </cell>
          <cell r="N41">
            <v>103000</v>
          </cell>
          <cell r="O41">
            <v>1</v>
          </cell>
          <cell r="P41">
            <v>42000</v>
          </cell>
          <cell r="Q41">
            <v>7000</v>
          </cell>
          <cell r="R41">
            <v>16.67</v>
          </cell>
          <cell r="S41">
            <v>1</v>
          </cell>
          <cell r="T41">
            <v>1800</v>
          </cell>
          <cell r="U41">
            <v>1</v>
          </cell>
          <cell r="V41">
            <v>1</v>
          </cell>
        </row>
        <row r="42">
          <cell r="A42">
            <v>41</v>
          </cell>
          <cell r="B42" t="str">
            <v>SBI Vadodara Main</v>
          </cell>
          <cell r="C42" t="str">
            <v>Vadodara</v>
          </cell>
          <cell r="D42" t="str">
            <v>Gujarat</v>
          </cell>
          <cell r="E42" t="str">
            <v>Western Region</v>
          </cell>
          <cell r="F42">
            <v>1</v>
          </cell>
          <cell r="G42">
            <v>1</v>
          </cell>
          <cell r="H42">
            <v>195000</v>
          </cell>
          <cell r="I42">
            <v>1</v>
          </cell>
          <cell r="J42">
            <v>3500000</v>
          </cell>
          <cell r="K42">
            <v>2800000</v>
          </cell>
          <cell r="L42">
            <v>1</v>
          </cell>
          <cell r="M42">
            <v>600000</v>
          </cell>
          <cell r="N42">
            <v>639000</v>
          </cell>
          <cell r="O42">
            <v>1</v>
          </cell>
          <cell r="P42">
            <v>120000</v>
          </cell>
          <cell r="Q42">
            <v>22000</v>
          </cell>
          <cell r="R42">
            <v>18.33</v>
          </cell>
          <cell r="S42">
            <v>1</v>
          </cell>
          <cell r="T42">
            <v>8500</v>
          </cell>
          <cell r="U42">
            <v>1</v>
          </cell>
          <cell r="V42">
            <v>1</v>
          </cell>
        </row>
        <row r="43">
          <cell r="A43">
            <v>42</v>
          </cell>
          <cell r="B43" t="str">
            <v>SBI Ludhiana Main</v>
          </cell>
          <cell r="C43" t="str">
            <v>Ludhiana</v>
          </cell>
          <cell r="D43" t="str">
            <v>Punjab</v>
          </cell>
          <cell r="E43" t="str">
            <v>Northern Region</v>
          </cell>
          <cell r="F43">
            <v>1</v>
          </cell>
          <cell r="G43">
            <v>1</v>
          </cell>
          <cell r="H43">
            <v>88000</v>
          </cell>
          <cell r="I43">
            <v>1</v>
          </cell>
          <cell r="J43">
            <v>750000</v>
          </cell>
          <cell r="K43">
            <v>660714</v>
          </cell>
          <cell r="L43">
            <v>1</v>
          </cell>
          <cell r="M43">
            <v>320000</v>
          </cell>
          <cell r="N43">
            <v>351680</v>
          </cell>
          <cell r="O43">
            <v>1</v>
          </cell>
          <cell r="P43">
            <v>75000</v>
          </cell>
          <cell r="Q43">
            <v>13000</v>
          </cell>
          <cell r="R43">
            <v>17.33</v>
          </cell>
          <cell r="S43">
            <v>1</v>
          </cell>
          <cell r="T43">
            <v>11500</v>
          </cell>
          <cell r="U43">
            <v>0</v>
          </cell>
          <cell r="V43">
            <v>0</v>
          </cell>
        </row>
        <row r="44">
          <cell r="A44">
            <v>43</v>
          </cell>
          <cell r="B44" t="str">
            <v>SBI Amritsar Main</v>
          </cell>
          <cell r="C44" t="str">
            <v>Amritsar</v>
          </cell>
          <cell r="D44" t="str">
            <v>Punjab</v>
          </cell>
          <cell r="E44" t="str">
            <v>Northern Region</v>
          </cell>
          <cell r="F44">
            <v>1</v>
          </cell>
          <cell r="G44">
            <v>2</v>
          </cell>
          <cell r="H44">
            <v>2710000</v>
          </cell>
          <cell r="I44">
            <v>1</v>
          </cell>
          <cell r="J44">
            <v>800000</v>
          </cell>
          <cell r="K44">
            <v>480000</v>
          </cell>
          <cell r="L44">
            <v>1</v>
          </cell>
          <cell r="M44">
            <v>900000</v>
          </cell>
          <cell r="N44">
            <v>1026209</v>
          </cell>
          <cell r="O44">
            <v>1</v>
          </cell>
          <cell r="P44">
            <v>250000</v>
          </cell>
          <cell r="Q44">
            <v>32000</v>
          </cell>
          <cell r="R44">
            <v>12.8</v>
          </cell>
          <cell r="S44">
            <v>1</v>
          </cell>
          <cell r="T44">
            <v>28000</v>
          </cell>
          <cell r="U44">
            <v>1</v>
          </cell>
          <cell r="V44">
            <v>1</v>
          </cell>
        </row>
        <row r="45">
          <cell r="A45">
            <v>44</v>
          </cell>
          <cell r="B45" t="str">
            <v>SBI Visakhapatnam</v>
          </cell>
          <cell r="C45" t="str">
            <v>Visakhapatnam</v>
          </cell>
          <cell r="D45" t="str">
            <v>Andhra Pradesh</v>
          </cell>
          <cell r="E45" t="str">
            <v>Southern Region</v>
          </cell>
          <cell r="F45">
            <v>3</v>
          </cell>
          <cell r="G45">
            <v>1</v>
          </cell>
          <cell r="H45">
            <v>135000</v>
          </cell>
          <cell r="I45">
            <v>1</v>
          </cell>
          <cell r="J45">
            <v>350000</v>
          </cell>
          <cell r="K45">
            <v>335417</v>
          </cell>
          <cell r="L45">
            <v>1</v>
          </cell>
          <cell r="M45">
            <v>450000</v>
          </cell>
          <cell r="N45">
            <v>479250</v>
          </cell>
          <cell r="O45">
            <v>1</v>
          </cell>
          <cell r="P45">
            <v>95000</v>
          </cell>
          <cell r="Q45">
            <v>17000</v>
          </cell>
          <cell r="R45">
            <v>17.89</v>
          </cell>
          <cell r="S45">
            <v>1</v>
          </cell>
          <cell r="T45">
            <v>6200</v>
          </cell>
          <cell r="U45">
            <v>1</v>
          </cell>
          <cell r="V45">
            <v>1</v>
          </cell>
        </row>
        <row r="46">
          <cell r="A46">
            <v>45</v>
          </cell>
          <cell r="B46" t="str">
            <v>SBI Indore Main</v>
          </cell>
          <cell r="C46" t="str">
            <v>Indore</v>
          </cell>
          <cell r="D46" t="str">
            <v>Madhya Pradesh</v>
          </cell>
          <cell r="E46" t="str">
            <v>Central Region</v>
          </cell>
          <cell r="F46">
            <v>2</v>
          </cell>
          <cell r="G46">
            <v>2</v>
          </cell>
          <cell r="H46">
            <v>223000</v>
          </cell>
          <cell r="I46">
            <v>1</v>
          </cell>
          <cell r="J46">
            <v>600000</v>
          </cell>
          <cell r="K46">
            <v>412500</v>
          </cell>
          <cell r="L46">
            <v>1</v>
          </cell>
          <cell r="M46">
            <v>200000</v>
          </cell>
          <cell r="N46">
            <v>206250</v>
          </cell>
          <cell r="O46">
            <v>1</v>
          </cell>
          <cell r="P46">
            <v>100000</v>
          </cell>
          <cell r="Q46">
            <v>18000</v>
          </cell>
          <cell r="R46">
            <v>18</v>
          </cell>
          <cell r="S46">
            <v>1</v>
          </cell>
          <cell r="T46">
            <v>15000</v>
          </cell>
          <cell r="U46">
            <v>1</v>
          </cell>
          <cell r="V46">
            <v>1</v>
          </cell>
        </row>
        <row r="47">
          <cell r="A47">
            <v>46</v>
          </cell>
          <cell r="B47" t="str">
            <v>SBI Raipur Main</v>
          </cell>
          <cell r="C47" t="str">
            <v>Raipur</v>
          </cell>
          <cell r="D47" t="str">
            <v>Chhattisgarh</v>
          </cell>
          <cell r="E47" t="str">
            <v>Central Region</v>
          </cell>
          <cell r="F47">
            <v>2</v>
          </cell>
          <cell r="G47">
            <v>1</v>
          </cell>
          <cell r="H47">
            <v>210000</v>
          </cell>
          <cell r="I47">
            <v>1</v>
          </cell>
          <cell r="J47">
            <v>1200000</v>
          </cell>
          <cell r="K47">
            <v>975000</v>
          </cell>
          <cell r="L47">
            <v>1</v>
          </cell>
          <cell r="M47">
            <v>580000</v>
          </cell>
          <cell r="N47">
            <v>661481</v>
          </cell>
          <cell r="O47">
            <v>1</v>
          </cell>
          <cell r="P47">
            <v>108000</v>
          </cell>
          <cell r="Q47">
            <v>18000</v>
          </cell>
          <cell r="R47">
            <v>16.67</v>
          </cell>
          <cell r="S47">
            <v>1</v>
          </cell>
          <cell r="T47">
            <v>4200</v>
          </cell>
          <cell r="U47">
            <v>1</v>
          </cell>
          <cell r="V47">
            <v>1</v>
          </cell>
        </row>
        <row r="48">
          <cell r="A48">
            <v>47</v>
          </cell>
          <cell r="B48" t="str">
            <v>SBI Thane Main</v>
          </cell>
          <cell r="C48" t="str">
            <v>Thane</v>
          </cell>
          <cell r="D48" t="str">
            <v>Maharashtra</v>
          </cell>
          <cell r="E48" t="str">
            <v>Western Region</v>
          </cell>
          <cell r="F48">
            <v>1</v>
          </cell>
          <cell r="G48">
            <v>1</v>
          </cell>
          <cell r="H48">
            <v>52000</v>
          </cell>
          <cell r="I48">
            <v>1</v>
          </cell>
          <cell r="J48">
            <v>950000</v>
          </cell>
          <cell r="K48">
            <v>475000</v>
          </cell>
          <cell r="L48">
            <v>1</v>
          </cell>
          <cell r="M48">
            <v>750000</v>
          </cell>
          <cell r="N48">
            <v>798750</v>
          </cell>
          <cell r="O48">
            <v>1</v>
          </cell>
          <cell r="P48">
            <v>80000</v>
          </cell>
          <cell r="Q48">
            <v>15000</v>
          </cell>
          <cell r="R48">
            <v>18.75</v>
          </cell>
          <cell r="S48">
            <v>1</v>
          </cell>
          <cell r="T48">
            <v>6500</v>
          </cell>
          <cell r="U48">
            <v>1</v>
          </cell>
          <cell r="V48">
            <v>1</v>
          </cell>
        </row>
        <row r="49">
          <cell r="A49">
            <v>48</v>
          </cell>
          <cell r="B49" t="str">
            <v>SBI Noida Sector 18</v>
          </cell>
          <cell r="C49" t="str">
            <v>Noida</v>
          </cell>
          <cell r="D49" t="str">
            <v>Uttar Pradesh</v>
          </cell>
          <cell r="E49" t="str">
            <v>Northern Region</v>
          </cell>
          <cell r="F49">
            <v>1</v>
          </cell>
          <cell r="G49">
            <v>1</v>
          </cell>
          <cell r="H49">
            <v>38000</v>
          </cell>
          <cell r="I49">
            <v>1</v>
          </cell>
          <cell r="J49">
            <v>450000</v>
          </cell>
          <cell r="K49">
            <v>446250</v>
          </cell>
          <cell r="L49">
            <v>1</v>
          </cell>
          <cell r="M49">
            <v>200000</v>
          </cell>
          <cell r="N49">
            <v>212500</v>
          </cell>
          <cell r="O49">
            <v>1</v>
          </cell>
          <cell r="P49">
            <v>58000</v>
          </cell>
          <cell r="Q49">
            <v>10000</v>
          </cell>
          <cell r="R49">
            <v>17.24</v>
          </cell>
          <cell r="S49">
            <v>1</v>
          </cell>
          <cell r="T49">
            <v>8800</v>
          </cell>
          <cell r="U49">
            <v>0</v>
          </cell>
          <cell r="V49">
            <v>0</v>
          </cell>
        </row>
        <row r="50">
          <cell r="A50">
            <v>49</v>
          </cell>
          <cell r="B50" t="str">
            <v>SBI Ghaziabad Main</v>
          </cell>
          <cell r="C50" t="str">
            <v>Ghaziabad</v>
          </cell>
          <cell r="D50" t="str">
            <v>Uttar Pradesh</v>
          </cell>
          <cell r="E50" t="str">
            <v>Northern Region</v>
          </cell>
          <cell r="F50">
            <v>2</v>
          </cell>
          <cell r="G50">
            <v>1</v>
          </cell>
          <cell r="H50">
            <v>485000</v>
          </cell>
          <cell r="I50">
            <v>1</v>
          </cell>
          <cell r="J50">
            <v>7200000</v>
          </cell>
          <cell r="K50">
            <v>6120000</v>
          </cell>
          <cell r="L50">
            <v>1</v>
          </cell>
          <cell r="M50">
            <v>1200000</v>
          </cell>
          <cell r="N50">
            <v>1470102</v>
          </cell>
          <cell r="O50">
            <v>1</v>
          </cell>
          <cell r="P50">
            <v>450000</v>
          </cell>
          <cell r="Q50">
            <v>52000</v>
          </cell>
          <cell r="R50">
            <v>11.56</v>
          </cell>
          <cell r="S50">
            <v>1</v>
          </cell>
          <cell r="T50">
            <v>42000</v>
          </cell>
          <cell r="U50">
            <v>1</v>
          </cell>
          <cell r="V50">
            <v>1</v>
          </cell>
        </row>
        <row r="51">
          <cell r="A51">
            <v>50</v>
          </cell>
          <cell r="B51" t="str">
            <v>SBI Navi Mumbai Vashi</v>
          </cell>
          <cell r="C51" t="str">
            <v>Navi Mumbai</v>
          </cell>
          <cell r="D51" t="str">
            <v>Maharashtra</v>
          </cell>
          <cell r="E51" t="str">
            <v>Western Region</v>
          </cell>
          <cell r="F51">
            <v>1</v>
          </cell>
          <cell r="G51">
            <v>1</v>
          </cell>
          <cell r="H51">
            <v>25000</v>
          </cell>
          <cell r="I51">
            <v>1</v>
          </cell>
          <cell r="J51">
            <v>38000</v>
          </cell>
          <cell r="K51">
            <v>25333</v>
          </cell>
          <cell r="L51">
            <v>1</v>
          </cell>
          <cell r="M51">
            <v>135000</v>
          </cell>
          <cell r="N51">
            <v>139050</v>
          </cell>
          <cell r="O51">
            <v>1</v>
          </cell>
          <cell r="P51">
            <v>35000</v>
          </cell>
          <cell r="Q51">
            <v>7000</v>
          </cell>
          <cell r="R51">
            <v>20</v>
          </cell>
          <cell r="S51">
            <v>1</v>
          </cell>
          <cell r="T51">
            <v>4500</v>
          </cell>
          <cell r="U51">
            <v>0</v>
          </cell>
          <cell r="V51">
            <v>0</v>
          </cell>
        </row>
        <row r="52">
          <cell r="A52">
            <v>51</v>
          </cell>
          <cell r="B52" t="str">
            <v>SBI Powai Mumbai</v>
          </cell>
          <cell r="C52" t="str">
            <v>Mumbai</v>
          </cell>
          <cell r="D52" t="str">
            <v>Maharashtra</v>
          </cell>
          <cell r="E52" t="str">
            <v>Western Region</v>
          </cell>
          <cell r="F52">
            <v>1</v>
          </cell>
          <cell r="G52">
            <v>1</v>
          </cell>
          <cell r="H52">
            <v>168000</v>
          </cell>
          <cell r="I52">
            <v>1</v>
          </cell>
          <cell r="J52">
            <v>1800000</v>
          </cell>
          <cell r="K52">
            <v>1080000</v>
          </cell>
          <cell r="L52">
            <v>1</v>
          </cell>
          <cell r="M52">
            <v>400000</v>
          </cell>
          <cell r="N52">
            <v>439627</v>
          </cell>
          <cell r="O52">
            <v>1</v>
          </cell>
          <cell r="P52">
            <v>280000</v>
          </cell>
          <cell r="Q52">
            <v>35000</v>
          </cell>
          <cell r="R52">
            <v>12.5</v>
          </cell>
          <cell r="S52">
            <v>1</v>
          </cell>
          <cell r="T52">
            <v>65000</v>
          </cell>
          <cell r="U52">
            <v>1</v>
          </cell>
          <cell r="V52">
            <v>1</v>
          </cell>
        </row>
        <row r="53">
          <cell r="A53">
            <v>52</v>
          </cell>
          <cell r="B53" t="str">
            <v>SBI Borivali Mumbai</v>
          </cell>
          <cell r="C53" t="str">
            <v>Mumbai</v>
          </cell>
          <cell r="D53" t="str">
            <v>Maharashtra</v>
          </cell>
          <cell r="E53" t="str">
            <v>Western Region</v>
          </cell>
          <cell r="F53">
            <v>1</v>
          </cell>
          <cell r="G53">
            <v>2</v>
          </cell>
          <cell r="H53">
            <v>9000000</v>
          </cell>
          <cell r="I53">
            <v>1</v>
          </cell>
          <cell r="J53">
            <v>12000000</v>
          </cell>
          <cell r="K53">
            <v>8400000</v>
          </cell>
          <cell r="L53">
            <v>1</v>
          </cell>
          <cell r="M53">
            <v>3500000</v>
          </cell>
          <cell r="N53">
            <v>5046022</v>
          </cell>
          <cell r="O53">
            <v>1</v>
          </cell>
          <cell r="P53">
            <v>1650000</v>
          </cell>
          <cell r="Q53">
            <v>130000</v>
          </cell>
          <cell r="R53">
            <v>7.88</v>
          </cell>
          <cell r="S53">
            <v>1</v>
          </cell>
          <cell r="T53">
            <v>68000</v>
          </cell>
          <cell r="U53">
            <v>0</v>
          </cell>
          <cell r="V53">
            <v>0</v>
          </cell>
        </row>
        <row r="54">
          <cell r="A54">
            <v>53</v>
          </cell>
          <cell r="B54" t="str">
            <v>SBI Malad Mumbai</v>
          </cell>
          <cell r="C54" t="str">
            <v>Mumbai</v>
          </cell>
          <cell r="D54" t="str">
            <v>Maharashtra</v>
          </cell>
          <cell r="E54" t="str">
            <v>Western Region</v>
          </cell>
          <cell r="F54">
            <v>1</v>
          </cell>
          <cell r="G54">
            <v>1</v>
          </cell>
          <cell r="H54">
            <v>42000</v>
          </cell>
          <cell r="I54">
            <v>1</v>
          </cell>
          <cell r="J54">
            <v>2000000</v>
          </cell>
          <cell r="K54">
            <v>1400000</v>
          </cell>
          <cell r="L54">
            <v>1</v>
          </cell>
          <cell r="M54">
            <v>550000</v>
          </cell>
          <cell r="N54">
            <v>627314</v>
          </cell>
          <cell r="O54">
            <v>1</v>
          </cell>
          <cell r="P54">
            <v>150000</v>
          </cell>
          <cell r="Q54">
            <v>25000</v>
          </cell>
          <cell r="R54">
            <v>16.67</v>
          </cell>
          <cell r="S54">
            <v>1</v>
          </cell>
          <cell r="T54">
            <v>2500</v>
          </cell>
          <cell r="U54">
            <v>1</v>
          </cell>
          <cell r="V54">
            <v>1</v>
          </cell>
        </row>
        <row r="55">
          <cell r="A55">
            <v>54</v>
          </cell>
          <cell r="B55" t="str">
            <v>SBI Hinjewadi Pune</v>
          </cell>
          <cell r="C55" t="str">
            <v>Pune</v>
          </cell>
          <cell r="D55" t="str">
            <v>Maharashtra</v>
          </cell>
          <cell r="E55" t="str">
            <v>Western Region</v>
          </cell>
          <cell r="F55">
            <v>1</v>
          </cell>
          <cell r="G55">
            <v>1</v>
          </cell>
          <cell r="H55">
            <v>115000</v>
          </cell>
          <cell r="I55">
            <v>1</v>
          </cell>
          <cell r="J55">
            <v>520000</v>
          </cell>
          <cell r="K55">
            <v>390000</v>
          </cell>
          <cell r="L55">
            <v>1</v>
          </cell>
          <cell r="M55">
            <v>280000</v>
          </cell>
          <cell r="N55">
            <v>298200</v>
          </cell>
          <cell r="O55">
            <v>1</v>
          </cell>
          <cell r="P55">
            <v>110000</v>
          </cell>
          <cell r="Q55">
            <v>18000</v>
          </cell>
          <cell r="R55">
            <v>16.36</v>
          </cell>
          <cell r="S55">
            <v>1</v>
          </cell>
          <cell r="T55">
            <v>13500</v>
          </cell>
          <cell r="U55">
            <v>0</v>
          </cell>
          <cell r="V55">
            <v>0</v>
          </cell>
        </row>
        <row r="56">
          <cell r="A56">
            <v>55</v>
          </cell>
          <cell r="B56" t="str">
            <v>SBI Kothrud Pune</v>
          </cell>
          <cell r="C56" t="str">
            <v>Pune</v>
          </cell>
          <cell r="D56" t="str">
            <v>Maharashtra</v>
          </cell>
          <cell r="E56" t="str">
            <v>Western Region</v>
          </cell>
          <cell r="F56">
            <v>1</v>
          </cell>
          <cell r="G56">
            <v>2</v>
          </cell>
          <cell r="H56">
            <v>490000</v>
          </cell>
          <cell r="I56">
            <v>1</v>
          </cell>
          <cell r="J56">
            <v>450000</v>
          </cell>
          <cell r="K56">
            <v>337500</v>
          </cell>
          <cell r="L56">
            <v>1</v>
          </cell>
          <cell r="M56">
            <v>300000</v>
          </cell>
          <cell r="N56">
            <v>318750</v>
          </cell>
          <cell r="O56">
            <v>1</v>
          </cell>
          <cell r="P56">
            <v>220000</v>
          </cell>
          <cell r="Q56">
            <v>28000</v>
          </cell>
          <cell r="R56">
            <v>12.73</v>
          </cell>
          <cell r="S56">
            <v>1</v>
          </cell>
          <cell r="T56">
            <v>32000</v>
          </cell>
          <cell r="U56">
            <v>1</v>
          </cell>
          <cell r="V56">
            <v>1</v>
          </cell>
        </row>
        <row r="57">
          <cell r="A57">
            <v>56</v>
          </cell>
          <cell r="B57" t="str">
            <v>SBI Electronic City</v>
          </cell>
          <cell r="C57" t="str">
            <v>Bengaluru</v>
          </cell>
          <cell r="D57" t="str">
            <v>Karnataka</v>
          </cell>
          <cell r="E57" t="str">
            <v>Southern Region</v>
          </cell>
          <cell r="F57">
            <v>1</v>
          </cell>
          <cell r="G57">
            <v>1</v>
          </cell>
          <cell r="H57">
            <v>68000</v>
          </cell>
          <cell r="I57">
            <v>1</v>
          </cell>
          <cell r="J57">
            <v>920000</v>
          </cell>
          <cell r="K57">
            <v>598000</v>
          </cell>
          <cell r="L57">
            <v>1</v>
          </cell>
          <cell r="M57">
            <v>420000</v>
          </cell>
          <cell r="N57">
            <v>461580</v>
          </cell>
          <cell r="O57">
            <v>1</v>
          </cell>
          <cell r="P57">
            <v>98000</v>
          </cell>
          <cell r="Q57">
            <v>16000</v>
          </cell>
          <cell r="R57">
            <v>16.33</v>
          </cell>
          <cell r="S57">
            <v>1</v>
          </cell>
          <cell r="T57">
            <v>24000</v>
          </cell>
          <cell r="U57">
            <v>0</v>
          </cell>
          <cell r="V57">
            <v>0</v>
          </cell>
        </row>
        <row r="58">
          <cell r="A58">
            <v>57</v>
          </cell>
          <cell r="B58" t="str">
            <v>SBI HSR Layout</v>
          </cell>
          <cell r="C58" t="str">
            <v>Bengaluru</v>
          </cell>
          <cell r="D58" t="str">
            <v>Karnataka</v>
          </cell>
          <cell r="E58" t="str">
            <v>Southern Region</v>
          </cell>
          <cell r="F58">
            <v>1</v>
          </cell>
          <cell r="G58">
            <v>1</v>
          </cell>
          <cell r="H58">
            <v>185000</v>
          </cell>
          <cell r="I58">
            <v>1</v>
          </cell>
          <cell r="J58">
            <v>3800000</v>
          </cell>
          <cell r="K58">
            <v>3040000</v>
          </cell>
          <cell r="L58">
            <v>1</v>
          </cell>
          <cell r="M58">
            <v>850000</v>
          </cell>
          <cell r="N58">
            <v>905250</v>
          </cell>
          <cell r="O58">
            <v>1</v>
          </cell>
          <cell r="P58">
            <v>130000</v>
          </cell>
          <cell r="Q58">
            <v>22000</v>
          </cell>
          <cell r="R58">
            <v>16.92</v>
          </cell>
          <cell r="S58">
            <v>1</v>
          </cell>
          <cell r="T58">
            <v>25000</v>
          </cell>
          <cell r="U58">
            <v>1</v>
          </cell>
          <cell r="V58">
            <v>1</v>
          </cell>
        </row>
        <row r="59">
          <cell r="A59">
            <v>58</v>
          </cell>
          <cell r="B59" t="str">
            <v>SBI Marathahalli</v>
          </cell>
          <cell r="C59" t="str">
            <v>Bengaluru</v>
          </cell>
          <cell r="D59" t="str">
            <v>Karnataka</v>
          </cell>
          <cell r="E59" t="str">
            <v>Southern Region</v>
          </cell>
          <cell r="F59">
            <v>1</v>
          </cell>
          <cell r="G59">
            <v>1</v>
          </cell>
          <cell r="H59">
            <v>32000</v>
          </cell>
          <cell r="I59">
            <v>1</v>
          </cell>
          <cell r="J59">
            <v>340000</v>
          </cell>
          <cell r="K59">
            <v>321111</v>
          </cell>
          <cell r="L59">
            <v>1</v>
          </cell>
          <cell r="M59">
            <v>180000</v>
          </cell>
          <cell r="N59">
            <v>191250</v>
          </cell>
          <cell r="O59">
            <v>1</v>
          </cell>
          <cell r="P59">
            <v>45000</v>
          </cell>
          <cell r="Q59">
            <v>7000</v>
          </cell>
          <cell r="R59">
            <v>15.56</v>
          </cell>
          <cell r="S59">
            <v>1</v>
          </cell>
          <cell r="T59">
            <v>5000</v>
          </cell>
          <cell r="U59">
            <v>0</v>
          </cell>
          <cell r="V59">
            <v>0</v>
          </cell>
        </row>
        <row r="60">
          <cell r="A60">
            <v>59</v>
          </cell>
          <cell r="B60" t="str">
            <v>SBI Velachery Chennai</v>
          </cell>
          <cell r="C60" t="str">
            <v>Chennai</v>
          </cell>
          <cell r="D60" t="str">
            <v>Tamil Nadu</v>
          </cell>
          <cell r="E60" t="str">
            <v>Southern Region</v>
          </cell>
          <cell r="F60">
            <v>1</v>
          </cell>
          <cell r="G60">
            <v>1</v>
          </cell>
          <cell r="H60">
            <v>425000</v>
          </cell>
          <cell r="I60">
            <v>1</v>
          </cell>
          <cell r="J60">
            <v>1100000</v>
          </cell>
          <cell r="K60">
            <v>715000</v>
          </cell>
          <cell r="L60">
            <v>1</v>
          </cell>
          <cell r="M60">
            <v>1800000</v>
          </cell>
          <cell r="N60">
            <v>2359800</v>
          </cell>
          <cell r="O60">
            <v>1</v>
          </cell>
          <cell r="P60">
            <v>520000</v>
          </cell>
          <cell r="Q60">
            <v>52000</v>
          </cell>
          <cell r="R60">
            <v>10</v>
          </cell>
          <cell r="S60">
            <v>1</v>
          </cell>
          <cell r="T60">
            <v>38000</v>
          </cell>
          <cell r="U60">
            <v>1</v>
          </cell>
          <cell r="V60">
            <v>1</v>
          </cell>
        </row>
        <row r="61">
          <cell r="A61">
            <v>60</v>
          </cell>
          <cell r="B61" t="str">
            <v>SBI OMR Chennai</v>
          </cell>
          <cell r="C61" t="str">
            <v>Chennai</v>
          </cell>
          <cell r="D61" t="str">
            <v>Tamil Nadu</v>
          </cell>
          <cell r="E61" t="str">
            <v>Southern Region</v>
          </cell>
          <cell r="F61">
            <v>1</v>
          </cell>
          <cell r="G61">
            <v>1</v>
          </cell>
          <cell r="H61">
            <v>19500</v>
          </cell>
          <cell r="I61">
            <v>1</v>
          </cell>
          <cell r="J61">
            <v>62000</v>
          </cell>
          <cell r="K61">
            <v>58556</v>
          </cell>
          <cell r="L61">
            <v>1</v>
          </cell>
          <cell r="M61">
            <v>110000</v>
          </cell>
          <cell r="N61">
            <v>113300</v>
          </cell>
          <cell r="O61">
            <v>1</v>
          </cell>
          <cell r="P61">
            <v>52000</v>
          </cell>
          <cell r="Q61">
            <v>10000</v>
          </cell>
          <cell r="R61">
            <v>19.23</v>
          </cell>
          <cell r="S61">
            <v>1</v>
          </cell>
          <cell r="T61">
            <v>7200</v>
          </cell>
          <cell r="U61">
            <v>0</v>
          </cell>
          <cell r="V61">
            <v>0</v>
          </cell>
        </row>
        <row r="62">
          <cell r="A62">
            <v>61</v>
          </cell>
          <cell r="B62" t="str">
            <v>SBI Prahlad Nagar</v>
          </cell>
          <cell r="C62" t="str">
            <v>Ahmedabad</v>
          </cell>
          <cell r="D62" t="str">
            <v>Gujarat</v>
          </cell>
          <cell r="E62" t="str">
            <v>Western Region</v>
          </cell>
          <cell r="F62">
            <v>1</v>
          </cell>
          <cell r="G62">
            <v>2</v>
          </cell>
          <cell r="H62">
            <v>4650000</v>
          </cell>
          <cell r="I62">
            <v>1</v>
          </cell>
          <cell r="J62">
            <v>9500000</v>
          </cell>
          <cell r="K62">
            <v>7600000</v>
          </cell>
          <cell r="L62">
            <v>1</v>
          </cell>
          <cell r="M62">
            <v>2500000</v>
          </cell>
          <cell r="N62">
            <v>3568359</v>
          </cell>
          <cell r="O62">
            <v>1</v>
          </cell>
          <cell r="P62">
            <v>1200000</v>
          </cell>
          <cell r="Q62">
            <v>115000</v>
          </cell>
          <cell r="R62">
            <v>9.58</v>
          </cell>
          <cell r="S62">
            <v>1</v>
          </cell>
          <cell r="T62">
            <v>85000</v>
          </cell>
          <cell r="U62">
            <v>1</v>
          </cell>
          <cell r="V62">
            <v>1</v>
          </cell>
        </row>
        <row r="63">
          <cell r="A63">
            <v>62</v>
          </cell>
          <cell r="B63" t="str">
            <v>SBI Satellite Ahmedabad</v>
          </cell>
          <cell r="C63" t="str">
            <v>Ahmedabad</v>
          </cell>
          <cell r="D63" t="str">
            <v>Gujarat</v>
          </cell>
          <cell r="E63" t="str">
            <v>Western Region</v>
          </cell>
          <cell r="F63">
            <v>1</v>
          </cell>
          <cell r="G63">
            <v>1</v>
          </cell>
          <cell r="H63">
            <v>82000</v>
          </cell>
          <cell r="I63">
            <v>1</v>
          </cell>
          <cell r="J63">
            <v>480000</v>
          </cell>
          <cell r="K63">
            <v>370000</v>
          </cell>
          <cell r="L63">
            <v>1</v>
          </cell>
          <cell r="M63">
            <v>350000</v>
          </cell>
          <cell r="N63">
            <v>372750</v>
          </cell>
          <cell r="O63">
            <v>1</v>
          </cell>
          <cell r="P63">
            <v>88000</v>
          </cell>
          <cell r="Q63">
            <v>16000</v>
          </cell>
          <cell r="R63">
            <v>18.18</v>
          </cell>
          <cell r="S63">
            <v>1</v>
          </cell>
          <cell r="T63">
            <v>5800</v>
          </cell>
          <cell r="U63">
            <v>0</v>
          </cell>
          <cell r="V63">
            <v>0</v>
          </cell>
        </row>
        <row r="64">
          <cell r="A64">
            <v>63</v>
          </cell>
          <cell r="B64" t="str">
            <v>SBI Park Street Kolkata</v>
          </cell>
          <cell r="C64" t="str">
            <v>Kolkata</v>
          </cell>
          <cell r="D64" t="str">
            <v>West Bengal</v>
          </cell>
          <cell r="E64" t="str">
            <v>Eastern Region</v>
          </cell>
          <cell r="F64">
            <v>1</v>
          </cell>
          <cell r="G64">
            <v>1</v>
          </cell>
          <cell r="H64">
            <v>235000</v>
          </cell>
          <cell r="I64">
            <v>1</v>
          </cell>
          <cell r="J64">
            <v>4200000</v>
          </cell>
          <cell r="K64">
            <v>3360000</v>
          </cell>
          <cell r="L64">
            <v>1</v>
          </cell>
          <cell r="M64">
            <v>700000</v>
          </cell>
          <cell r="N64">
            <v>745500</v>
          </cell>
          <cell r="O64">
            <v>1</v>
          </cell>
          <cell r="P64">
            <v>280000</v>
          </cell>
          <cell r="Q64">
            <v>38000</v>
          </cell>
          <cell r="R64">
            <v>13.57</v>
          </cell>
          <cell r="S64">
            <v>1</v>
          </cell>
          <cell r="T64">
            <v>20000</v>
          </cell>
          <cell r="U64">
            <v>1</v>
          </cell>
          <cell r="V64">
            <v>1</v>
          </cell>
        </row>
        <row r="65">
          <cell r="A65">
            <v>64</v>
          </cell>
          <cell r="B65" t="str">
            <v>SBI New Town Kolkata</v>
          </cell>
          <cell r="C65" t="str">
            <v>Kolkata</v>
          </cell>
          <cell r="D65" t="str">
            <v>West Bengal</v>
          </cell>
          <cell r="E65" t="str">
            <v>Eastern Region</v>
          </cell>
          <cell r="F65">
            <v>1</v>
          </cell>
          <cell r="G65">
            <v>1</v>
          </cell>
          <cell r="H65">
            <v>58000</v>
          </cell>
          <cell r="I65">
            <v>1</v>
          </cell>
          <cell r="J65">
            <v>78000</v>
          </cell>
          <cell r="K65">
            <v>74917</v>
          </cell>
          <cell r="L65">
            <v>1</v>
          </cell>
          <cell r="M65">
            <v>220000</v>
          </cell>
          <cell r="N65">
            <v>233750</v>
          </cell>
          <cell r="O65">
            <v>1</v>
          </cell>
          <cell r="P65">
            <v>40000</v>
          </cell>
          <cell r="Q65">
            <v>8000</v>
          </cell>
          <cell r="R65">
            <v>20</v>
          </cell>
          <cell r="S65">
            <v>1</v>
          </cell>
          <cell r="T65">
            <v>8200</v>
          </cell>
          <cell r="U65">
            <v>0</v>
          </cell>
          <cell r="V65">
            <v>0</v>
          </cell>
        </row>
        <row r="66">
          <cell r="A66">
            <v>65</v>
          </cell>
          <cell r="B66" t="str">
            <v>SBI Saket Delhi</v>
          </cell>
          <cell r="C66" t="str">
            <v>New Delhi</v>
          </cell>
          <cell r="D66" t="str">
            <v>Delhi</v>
          </cell>
          <cell r="E66" t="str">
            <v>Northern Region</v>
          </cell>
          <cell r="F66">
            <v>1</v>
          </cell>
          <cell r="G66">
            <v>2</v>
          </cell>
          <cell r="H66">
            <v>323000</v>
          </cell>
          <cell r="I66">
            <v>1</v>
          </cell>
          <cell r="J66">
            <v>750000</v>
          </cell>
          <cell r="K66">
            <v>468750</v>
          </cell>
          <cell r="L66">
            <v>1</v>
          </cell>
          <cell r="M66">
            <v>480000</v>
          </cell>
          <cell r="N66">
            <v>547478</v>
          </cell>
          <cell r="O66">
            <v>1</v>
          </cell>
          <cell r="P66">
            <v>110000</v>
          </cell>
          <cell r="Q66">
            <v>18000</v>
          </cell>
          <cell r="R66">
            <v>16.36</v>
          </cell>
          <cell r="S66">
            <v>1</v>
          </cell>
          <cell r="T66">
            <v>7200</v>
          </cell>
          <cell r="U66">
            <v>1</v>
          </cell>
          <cell r="V66">
            <v>1</v>
          </cell>
        </row>
        <row r="67">
          <cell r="A67">
            <v>66</v>
          </cell>
          <cell r="B67" t="str">
            <v>SBI Rohini Delhi</v>
          </cell>
          <cell r="C67" t="str">
            <v>New Delhi</v>
          </cell>
          <cell r="D67" t="str">
            <v>Delhi</v>
          </cell>
          <cell r="E67" t="str">
            <v>Northern Region</v>
          </cell>
          <cell r="F67">
            <v>1</v>
          </cell>
          <cell r="G67">
            <v>1</v>
          </cell>
          <cell r="H67">
            <v>45000</v>
          </cell>
          <cell r="I67">
            <v>1</v>
          </cell>
          <cell r="J67">
            <v>260000</v>
          </cell>
          <cell r="K67">
            <v>260000</v>
          </cell>
          <cell r="L67">
            <v>1</v>
          </cell>
          <cell r="M67">
            <v>150000</v>
          </cell>
          <cell r="N67">
            <v>159375</v>
          </cell>
          <cell r="O67">
            <v>1</v>
          </cell>
          <cell r="P67">
            <v>55000</v>
          </cell>
          <cell r="Q67">
            <v>10000</v>
          </cell>
          <cell r="R67">
            <v>18.18</v>
          </cell>
          <cell r="S67">
            <v>1</v>
          </cell>
          <cell r="T67">
            <v>4800</v>
          </cell>
          <cell r="U67">
            <v>0</v>
          </cell>
          <cell r="V67">
            <v>0</v>
          </cell>
        </row>
        <row r="68">
          <cell r="A68">
            <v>67</v>
          </cell>
          <cell r="B68" t="str">
            <v>SBI Madhapur Hyderabad</v>
          </cell>
          <cell r="C68" t="str">
            <v>Hyderabad</v>
          </cell>
          <cell r="D68" t="str">
            <v>Telangana</v>
          </cell>
          <cell r="E68" t="str">
            <v>Southern Region</v>
          </cell>
          <cell r="F68">
            <v>1</v>
          </cell>
          <cell r="G68">
            <v>1</v>
          </cell>
          <cell r="H68">
            <v>380000</v>
          </cell>
          <cell r="I68">
            <v>1</v>
          </cell>
          <cell r="J68">
            <v>3200000</v>
          </cell>
          <cell r="K68">
            <v>2080000</v>
          </cell>
          <cell r="L68">
            <v>1</v>
          </cell>
          <cell r="M68">
            <v>1100000</v>
          </cell>
          <cell r="N68">
            <v>1347761</v>
          </cell>
          <cell r="O68">
            <v>1</v>
          </cell>
          <cell r="P68">
            <v>380000</v>
          </cell>
          <cell r="Q68">
            <v>45000</v>
          </cell>
          <cell r="R68">
            <v>11.84</v>
          </cell>
          <cell r="S68">
            <v>1</v>
          </cell>
          <cell r="T68">
            <v>48000</v>
          </cell>
          <cell r="U68">
            <v>1</v>
          </cell>
          <cell r="V68">
            <v>1</v>
          </cell>
        </row>
        <row r="69">
          <cell r="A69">
            <v>68</v>
          </cell>
          <cell r="B69" t="str">
            <v>SBI Gachibowli</v>
          </cell>
          <cell r="C69" t="str">
            <v>Hyderabad</v>
          </cell>
          <cell r="D69" t="str">
            <v>Telangana</v>
          </cell>
          <cell r="E69" t="str">
            <v>Southern Region</v>
          </cell>
          <cell r="F69">
            <v>1</v>
          </cell>
          <cell r="G69">
            <v>1</v>
          </cell>
          <cell r="H69">
            <v>28000</v>
          </cell>
          <cell r="I69">
            <v>1</v>
          </cell>
          <cell r="J69">
            <v>42000</v>
          </cell>
          <cell r="K69">
            <v>38500</v>
          </cell>
          <cell r="L69">
            <v>1</v>
          </cell>
          <cell r="M69">
            <v>185000</v>
          </cell>
          <cell r="N69">
            <v>190550</v>
          </cell>
          <cell r="O69">
            <v>1</v>
          </cell>
          <cell r="P69">
            <v>38000</v>
          </cell>
          <cell r="Q69">
            <v>8000</v>
          </cell>
          <cell r="R69">
            <v>21.05</v>
          </cell>
          <cell r="S69">
            <v>1</v>
          </cell>
          <cell r="T69">
            <v>6800</v>
          </cell>
          <cell r="U69">
            <v>0</v>
          </cell>
          <cell r="V69">
            <v>0</v>
          </cell>
        </row>
        <row r="70">
          <cell r="A70">
            <v>69</v>
          </cell>
          <cell r="B70" t="str">
            <v>SBI Varanasi Main</v>
          </cell>
          <cell r="C70" t="str">
            <v>Varanasi</v>
          </cell>
          <cell r="D70" t="str">
            <v>Uttar Pradesh</v>
          </cell>
          <cell r="E70" t="str">
            <v>Northern Region</v>
          </cell>
          <cell r="F70">
            <v>2</v>
          </cell>
          <cell r="G70">
            <v>1</v>
          </cell>
          <cell r="H70">
            <v>295000</v>
          </cell>
          <cell r="I70">
            <v>1</v>
          </cell>
          <cell r="J70">
            <v>5800000</v>
          </cell>
          <cell r="K70">
            <v>4640000</v>
          </cell>
          <cell r="L70">
            <v>1</v>
          </cell>
          <cell r="M70">
            <v>650000</v>
          </cell>
          <cell r="N70">
            <v>714456</v>
          </cell>
          <cell r="O70">
            <v>1</v>
          </cell>
          <cell r="P70">
            <v>195000</v>
          </cell>
          <cell r="Q70">
            <v>27000</v>
          </cell>
          <cell r="R70">
            <v>13.85</v>
          </cell>
          <cell r="S70">
            <v>1</v>
          </cell>
          <cell r="T70">
            <v>35000</v>
          </cell>
          <cell r="U70">
            <v>2</v>
          </cell>
          <cell r="V70">
            <v>2</v>
          </cell>
        </row>
        <row r="71">
          <cell r="A71">
            <v>70</v>
          </cell>
          <cell r="B71" t="str">
            <v>SBI Agra Main</v>
          </cell>
          <cell r="C71" t="str">
            <v>Agra</v>
          </cell>
          <cell r="D71" t="str">
            <v>Uttar Pradesh</v>
          </cell>
          <cell r="E71" t="str">
            <v>Northern Region</v>
          </cell>
          <cell r="F71">
            <v>2</v>
          </cell>
          <cell r="G71">
            <v>1</v>
          </cell>
          <cell r="H71">
            <v>105000</v>
          </cell>
          <cell r="I71">
            <v>1</v>
          </cell>
          <cell r="J71">
            <v>250000</v>
          </cell>
          <cell r="K71">
            <v>239583</v>
          </cell>
          <cell r="L71">
            <v>1</v>
          </cell>
          <cell r="M71">
            <v>400000</v>
          </cell>
          <cell r="N71">
            <v>439627</v>
          </cell>
          <cell r="O71">
            <v>1</v>
          </cell>
          <cell r="P71">
            <v>82000</v>
          </cell>
          <cell r="Q71">
            <v>14000</v>
          </cell>
          <cell r="R71">
            <v>17.07</v>
          </cell>
          <cell r="S71">
            <v>1</v>
          </cell>
          <cell r="T71">
            <v>2200</v>
          </cell>
          <cell r="U71">
            <v>0</v>
          </cell>
          <cell r="V71">
            <v>0</v>
          </cell>
        </row>
        <row r="72">
          <cell r="A72">
            <v>71</v>
          </cell>
          <cell r="B72" t="str">
            <v>SBI Kanpur Main</v>
          </cell>
          <cell r="C72" t="str">
            <v>Kanpur</v>
          </cell>
          <cell r="D72" t="str">
            <v>Uttar Pradesh</v>
          </cell>
          <cell r="E72" t="str">
            <v>Northern Region</v>
          </cell>
          <cell r="F72">
            <v>2</v>
          </cell>
          <cell r="G72">
            <v>2</v>
          </cell>
          <cell r="H72">
            <v>430000</v>
          </cell>
          <cell r="I72">
            <v>1</v>
          </cell>
          <cell r="J72">
            <v>1350000</v>
          </cell>
          <cell r="K72">
            <v>810000</v>
          </cell>
          <cell r="L72">
            <v>1</v>
          </cell>
          <cell r="M72">
            <v>950000</v>
          </cell>
          <cell r="N72">
            <v>1083391</v>
          </cell>
          <cell r="O72">
            <v>1</v>
          </cell>
          <cell r="P72">
            <v>140000</v>
          </cell>
          <cell r="Q72">
            <v>22000</v>
          </cell>
          <cell r="R72">
            <v>15.71</v>
          </cell>
          <cell r="S72">
            <v>1</v>
          </cell>
          <cell r="T72">
            <v>16000</v>
          </cell>
          <cell r="U72">
            <v>1</v>
          </cell>
          <cell r="V72">
            <v>1</v>
          </cell>
        </row>
        <row r="73">
          <cell r="A73">
            <v>72</v>
          </cell>
          <cell r="B73" t="str">
            <v>SBI Prayagraj Main</v>
          </cell>
          <cell r="C73" t="str">
            <v>Prayagraj</v>
          </cell>
          <cell r="D73" t="str">
            <v>Uttar Pradesh</v>
          </cell>
          <cell r="E73" t="str">
            <v>Northern Region</v>
          </cell>
          <cell r="F73">
            <v>2</v>
          </cell>
          <cell r="G73">
            <v>1</v>
          </cell>
          <cell r="H73">
            <v>75000</v>
          </cell>
          <cell r="I73">
            <v>1</v>
          </cell>
          <cell r="J73">
            <v>180000</v>
          </cell>
          <cell r="K73">
            <v>175000</v>
          </cell>
          <cell r="L73">
            <v>1</v>
          </cell>
          <cell r="M73">
            <v>280000</v>
          </cell>
          <cell r="N73">
            <v>298200</v>
          </cell>
          <cell r="O73">
            <v>1</v>
          </cell>
          <cell r="P73">
            <v>92000</v>
          </cell>
          <cell r="Q73">
            <v>16000</v>
          </cell>
          <cell r="R73">
            <v>17.39</v>
          </cell>
          <cell r="S73">
            <v>1</v>
          </cell>
          <cell r="T73">
            <v>10200</v>
          </cell>
          <cell r="U73">
            <v>1</v>
          </cell>
          <cell r="V73">
            <v>1</v>
          </cell>
        </row>
        <row r="74">
          <cell r="A74">
            <v>73</v>
          </cell>
          <cell r="B74" t="str">
            <v>SBI Jodhpur Main</v>
          </cell>
          <cell r="C74" t="str">
            <v>Jodhpur</v>
          </cell>
          <cell r="D74" t="str">
            <v>Rajasthan</v>
          </cell>
          <cell r="E74" t="str">
            <v>Northern Region</v>
          </cell>
          <cell r="F74">
            <v>2</v>
          </cell>
          <cell r="G74">
            <v>2</v>
          </cell>
          <cell r="H74">
            <v>2470000</v>
          </cell>
          <cell r="I74">
            <v>1</v>
          </cell>
          <cell r="J74">
            <v>1500000</v>
          </cell>
          <cell r="K74">
            <v>857143</v>
          </cell>
          <cell r="L74">
            <v>1</v>
          </cell>
          <cell r="M74">
            <v>1350000</v>
          </cell>
          <cell r="N74">
            <v>1654003</v>
          </cell>
          <cell r="O74">
            <v>1</v>
          </cell>
          <cell r="P74">
            <v>680000</v>
          </cell>
          <cell r="Q74">
            <v>65000</v>
          </cell>
          <cell r="R74">
            <v>9.56</v>
          </cell>
          <cell r="S74">
            <v>1</v>
          </cell>
          <cell r="T74">
            <v>55000</v>
          </cell>
          <cell r="U74">
            <v>2</v>
          </cell>
          <cell r="V74">
            <v>2</v>
          </cell>
        </row>
        <row r="75">
          <cell r="A75">
            <v>74</v>
          </cell>
          <cell r="B75" t="str">
            <v>SBI Udaipur Main</v>
          </cell>
          <cell r="C75" t="str">
            <v>Udaipur</v>
          </cell>
          <cell r="D75" t="str">
            <v>Rajasthan</v>
          </cell>
          <cell r="E75" t="str">
            <v>Northern Region</v>
          </cell>
          <cell r="F75">
            <v>2</v>
          </cell>
          <cell r="G75">
            <v>1</v>
          </cell>
          <cell r="H75">
            <v>35500</v>
          </cell>
          <cell r="I75">
            <v>1</v>
          </cell>
          <cell r="J75">
            <v>320000</v>
          </cell>
          <cell r="K75">
            <v>309333</v>
          </cell>
          <cell r="L75">
            <v>1</v>
          </cell>
          <cell r="M75">
            <v>195000</v>
          </cell>
          <cell r="N75">
            <v>207188</v>
          </cell>
          <cell r="O75">
            <v>1</v>
          </cell>
          <cell r="P75">
            <v>60000</v>
          </cell>
          <cell r="Q75">
            <v>10000</v>
          </cell>
          <cell r="R75">
            <v>16.67</v>
          </cell>
          <cell r="S75">
            <v>1</v>
          </cell>
          <cell r="T75">
            <v>5200</v>
          </cell>
          <cell r="U75">
            <v>0</v>
          </cell>
          <cell r="V75">
            <v>0</v>
          </cell>
        </row>
        <row r="76">
          <cell r="A76">
            <v>75</v>
          </cell>
          <cell r="B76" t="str">
            <v>SBI Kota Main</v>
          </cell>
          <cell r="C76" t="str">
            <v>Kota</v>
          </cell>
          <cell r="D76" t="str">
            <v>Rajasthan</v>
          </cell>
          <cell r="E76" t="str">
            <v>Northern Region</v>
          </cell>
          <cell r="F76">
            <v>2</v>
          </cell>
          <cell r="G76">
            <v>1</v>
          </cell>
          <cell r="H76">
            <v>148000</v>
          </cell>
          <cell r="I76">
            <v>1</v>
          </cell>
          <cell r="J76">
            <v>400000</v>
          </cell>
          <cell r="K76">
            <v>311111</v>
          </cell>
          <cell r="L76">
            <v>1</v>
          </cell>
          <cell r="M76">
            <v>280000</v>
          </cell>
          <cell r="N76">
            <v>297500</v>
          </cell>
          <cell r="O76">
            <v>1</v>
          </cell>
          <cell r="P76">
            <v>90000</v>
          </cell>
          <cell r="Q76">
            <v>15000</v>
          </cell>
          <cell r="R76">
            <v>16.67</v>
          </cell>
          <cell r="S76">
            <v>1</v>
          </cell>
          <cell r="T76">
            <v>5800</v>
          </cell>
          <cell r="U76">
            <v>1</v>
          </cell>
          <cell r="V76">
            <v>1</v>
          </cell>
        </row>
        <row r="77">
          <cell r="A77">
            <v>76</v>
          </cell>
          <cell r="B77" t="str">
            <v>SBI Jabalpur Main</v>
          </cell>
          <cell r="C77" t="str">
            <v>Jabalpur</v>
          </cell>
          <cell r="D77" t="str">
            <v>Madhya Pradesh</v>
          </cell>
          <cell r="E77" t="str">
            <v>Central Region</v>
          </cell>
          <cell r="F77">
            <v>1</v>
          </cell>
          <cell r="G77">
            <v>1</v>
          </cell>
          <cell r="H77">
            <v>55000</v>
          </cell>
          <cell r="I77">
            <v>1</v>
          </cell>
          <cell r="J77">
            <v>200000</v>
          </cell>
          <cell r="K77">
            <v>195833</v>
          </cell>
          <cell r="L77">
            <v>1</v>
          </cell>
          <cell r="M77">
            <v>320000</v>
          </cell>
          <cell r="N77">
            <v>340800</v>
          </cell>
          <cell r="O77">
            <v>1</v>
          </cell>
          <cell r="P77">
            <v>42000</v>
          </cell>
          <cell r="Q77">
            <v>7000</v>
          </cell>
          <cell r="R77">
            <v>16.67</v>
          </cell>
          <cell r="S77">
            <v>1</v>
          </cell>
          <cell r="T77">
            <v>7500</v>
          </cell>
          <cell r="U77">
            <v>0</v>
          </cell>
          <cell r="V77">
            <v>0</v>
          </cell>
        </row>
        <row r="78">
          <cell r="A78">
            <v>77</v>
          </cell>
          <cell r="B78" t="str">
            <v>SBI Gwalior Main</v>
          </cell>
          <cell r="C78" t="str">
            <v>Gwalior</v>
          </cell>
          <cell r="D78" t="str">
            <v>Madhya Pradesh</v>
          </cell>
          <cell r="E78" t="str">
            <v>Central Region</v>
          </cell>
          <cell r="F78">
            <v>1</v>
          </cell>
          <cell r="G78">
            <v>2</v>
          </cell>
          <cell r="H78">
            <v>413000</v>
          </cell>
          <cell r="I78">
            <v>1</v>
          </cell>
          <cell r="J78">
            <v>4200000</v>
          </cell>
          <cell r="K78">
            <v>3360000</v>
          </cell>
          <cell r="L78">
            <v>1</v>
          </cell>
          <cell r="M78">
            <v>520000</v>
          </cell>
          <cell r="N78">
            <v>553800</v>
          </cell>
          <cell r="O78">
            <v>1</v>
          </cell>
          <cell r="P78">
            <v>125000</v>
          </cell>
          <cell r="Q78">
            <v>20000</v>
          </cell>
          <cell r="R78">
            <v>16</v>
          </cell>
          <cell r="S78">
            <v>1</v>
          </cell>
          <cell r="T78">
            <v>28000</v>
          </cell>
          <cell r="U78">
            <v>1</v>
          </cell>
          <cell r="V78">
            <v>1</v>
          </cell>
        </row>
        <row r="79">
          <cell r="A79">
            <v>78</v>
          </cell>
          <cell r="B79" t="str">
            <v>SBI Hubli Main</v>
          </cell>
          <cell r="C79" t="str">
            <v>Hubli</v>
          </cell>
          <cell r="D79" t="str">
            <v>Karnataka</v>
          </cell>
          <cell r="E79" t="str">
            <v>Southern Region</v>
          </cell>
          <cell r="F79">
            <v>2</v>
          </cell>
          <cell r="G79">
            <v>1</v>
          </cell>
          <cell r="H79">
            <v>92000</v>
          </cell>
          <cell r="I79">
            <v>1</v>
          </cell>
          <cell r="J79">
            <v>280000</v>
          </cell>
          <cell r="K79">
            <v>274667</v>
          </cell>
          <cell r="L79">
            <v>1</v>
          </cell>
          <cell r="M79">
            <v>250000</v>
          </cell>
          <cell r="N79">
            <v>274813</v>
          </cell>
          <cell r="O79">
            <v>1</v>
          </cell>
          <cell r="P79">
            <v>85000</v>
          </cell>
          <cell r="Q79">
            <v>15000</v>
          </cell>
          <cell r="R79">
            <v>17.65</v>
          </cell>
          <cell r="S79">
            <v>1</v>
          </cell>
          <cell r="T79">
            <v>6000</v>
          </cell>
          <cell r="U79">
            <v>1</v>
          </cell>
          <cell r="V79">
            <v>1</v>
          </cell>
        </row>
        <row r="80">
          <cell r="A80">
            <v>79</v>
          </cell>
          <cell r="B80" t="str">
            <v>SBI Mangaluru Main</v>
          </cell>
          <cell r="C80" t="str">
            <v>Mangaluru</v>
          </cell>
          <cell r="D80" t="str">
            <v>Karnataka</v>
          </cell>
          <cell r="E80" t="str">
            <v>Southern Region</v>
          </cell>
          <cell r="F80">
            <v>1</v>
          </cell>
          <cell r="G80">
            <v>2</v>
          </cell>
          <cell r="H80">
            <v>5930000</v>
          </cell>
          <cell r="I80">
            <v>1</v>
          </cell>
          <cell r="J80">
            <v>7500000</v>
          </cell>
          <cell r="K80">
            <v>5625000</v>
          </cell>
          <cell r="L80">
            <v>1</v>
          </cell>
          <cell r="M80">
            <v>4000000</v>
          </cell>
          <cell r="N80">
            <v>5768025</v>
          </cell>
          <cell r="O80">
            <v>1</v>
          </cell>
          <cell r="P80">
            <v>1800000</v>
          </cell>
          <cell r="Q80">
            <v>150000</v>
          </cell>
          <cell r="R80">
            <v>8.33</v>
          </cell>
          <cell r="S80">
            <v>1</v>
          </cell>
          <cell r="T80">
            <v>62000</v>
          </cell>
          <cell r="U80">
            <v>1</v>
          </cell>
          <cell r="V80">
            <v>1</v>
          </cell>
        </row>
        <row r="81">
          <cell r="A81">
            <v>80</v>
          </cell>
          <cell r="B81" t="str">
            <v>SBI Madurai Main</v>
          </cell>
          <cell r="C81" t="str">
            <v>Madurai</v>
          </cell>
          <cell r="D81" t="str">
            <v>Tamil Nadu</v>
          </cell>
          <cell r="E81" t="str">
            <v>Southern Region</v>
          </cell>
          <cell r="F81">
            <v>2</v>
          </cell>
          <cell r="G81">
            <v>1</v>
          </cell>
          <cell r="H81">
            <v>48000</v>
          </cell>
          <cell r="I81">
            <v>1</v>
          </cell>
          <cell r="J81">
            <v>360000</v>
          </cell>
          <cell r="K81">
            <v>350000</v>
          </cell>
          <cell r="L81">
            <v>1</v>
          </cell>
          <cell r="M81">
            <v>175000</v>
          </cell>
          <cell r="N81">
            <v>185938</v>
          </cell>
          <cell r="O81">
            <v>1</v>
          </cell>
          <cell r="P81">
            <v>58000</v>
          </cell>
          <cell r="Q81">
            <v>10000</v>
          </cell>
          <cell r="R81">
            <v>17.24</v>
          </cell>
          <cell r="S81">
            <v>1</v>
          </cell>
          <cell r="T81">
            <v>8800</v>
          </cell>
          <cell r="U81">
            <v>0</v>
          </cell>
          <cell r="V81">
            <v>0</v>
          </cell>
        </row>
        <row r="82">
          <cell r="A82">
            <v>81</v>
          </cell>
          <cell r="B82" t="str">
            <v>SBI Salem Main</v>
          </cell>
          <cell r="C82" t="str">
            <v>Salem</v>
          </cell>
          <cell r="D82" t="str">
            <v>Tamil Nadu</v>
          </cell>
          <cell r="E82" t="str">
            <v>Southern Region</v>
          </cell>
          <cell r="F82">
            <v>1</v>
          </cell>
          <cell r="G82">
            <v>1</v>
          </cell>
          <cell r="H82">
            <v>335000</v>
          </cell>
          <cell r="I82">
            <v>1</v>
          </cell>
          <cell r="J82">
            <v>2800000</v>
          </cell>
          <cell r="K82">
            <v>2100000</v>
          </cell>
          <cell r="L82">
            <v>1</v>
          </cell>
          <cell r="M82">
            <v>750000</v>
          </cell>
          <cell r="N82">
            <v>824438</v>
          </cell>
          <cell r="O82">
            <v>1</v>
          </cell>
          <cell r="P82">
            <v>240000</v>
          </cell>
          <cell r="Q82">
            <v>32000</v>
          </cell>
          <cell r="R82">
            <v>13.33</v>
          </cell>
          <cell r="S82">
            <v>1</v>
          </cell>
          <cell r="T82">
            <v>72000</v>
          </cell>
          <cell r="U82">
            <v>1</v>
          </cell>
          <cell r="V82">
            <v>1</v>
          </cell>
        </row>
        <row r="83">
          <cell r="A83">
            <v>82</v>
          </cell>
          <cell r="B83" t="str">
            <v>SBI Rajkot Main</v>
          </cell>
          <cell r="C83" t="str">
            <v>Rajkot</v>
          </cell>
          <cell r="D83" t="str">
            <v>Gujarat</v>
          </cell>
          <cell r="E83" t="str">
            <v>Western Region</v>
          </cell>
          <cell r="F83">
            <v>2</v>
          </cell>
          <cell r="G83">
            <v>1</v>
          </cell>
          <cell r="H83">
            <v>21000</v>
          </cell>
          <cell r="I83">
            <v>1</v>
          </cell>
          <cell r="J83">
            <v>48000</v>
          </cell>
          <cell r="K83">
            <v>44000</v>
          </cell>
          <cell r="L83">
            <v>1</v>
          </cell>
          <cell r="M83">
            <v>130000</v>
          </cell>
          <cell r="N83">
            <v>133900</v>
          </cell>
          <cell r="O83">
            <v>1</v>
          </cell>
          <cell r="P83">
            <v>35000</v>
          </cell>
          <cell r="Q83">
            <v>7000</v>
          </cell>
          <cell r="R83">
            <v>20</v>
          </cell>
          <cell r="S83">
            <v>1</v>
          </cell>
          <cell r="T83">
            <v>4500</v>
          </cell>
          <cell r="U83">
            <v>1</v>
          </cell>
          <cell r="V83">
            <v>1</v>
          </cell>
        </row>
        <row r="84">
          <cell r="A84">
            <v>83</v>
          </cell>
          <cell r="B84" t="str">
            <v>SBI Jamnagar Main</v>
          </cell>
          <cell r="C84" t="str">
            <v>Jamnagar</v>
          </cell>
          <cell r="D84" t="str">
            <v>Gujarat</v>
          </cell>
          <cell r="E84" t="str">
            <v>Western Region</v>
          </cell>
          <cell r="F84">
            <v>1</v>
          </cell>
          <cell r="G84">
            <v>1</v>
          </cell>
          <cell r="H84">
            <v>178000</v>
          </cell>
          <cell r="I84">
            <v>1</v>
          </cell>
          <cell r="J84">
            <v>980000</v>
          </cell>
          <cell r="K84">
            <v>588000</v>
          </cell>
          <cell r="L84">
            <v>1</v>
          </cell>
          <cell r="M84">
            <v>580000</v>
          </cell>
          <cell r="N84">
            <v>661481</v>
          </cell>
          <cell r="O84">
            <v>1</v>
          </cell>
          <cell r="P84">
            <v>115000</v>
          </cell>
          <cell r="Q84">
            <v>20000</v>
          </cell>
          <cell r="R84">
            <v>17.39</v>
          </cell>
          <cell r="S84">
            <v>1</v>
          </cell>
          <cell r="T84">
            <v>14000</v>
          </cell>
          <cell r="U84">
            <v>1</v>
          </cell>
          <cell r="V84">
            <v>1</v>
          </cell>
        </row>
        <row r="85">
          <cell r="A85">
            <v>84</v>
          </cell>
          <cell r="B85" t="str">
            <v>SBI Siliguri Main</v>
          </cell>
          <cell r="C85" t="str">
            <v>Siliguri</v>
          </cell>
          <cell r="D85" t="str">
            <v>West Bengal</v>
          </cell>
          <cell r="E85" t="str">
            <v>Eastern Region</v>
          </cell>
          <cell r="F85">
            <v>1</v>
          </cell>
          <cell r="G85">
            <v>1</v>
          </cell>
          <cell r="H85">
            <v>2450000</v>
          </cell>
          <cell r="I85">
            <v>1</v>
          </cell>
          <cell r="J85">
            <v>8200000</v>
          </cell>
          <cell r="K85">
            <v>6150000</v>
          </cell>
          <cell r="L85">
            <v>1</v>
          </cell>
          <cell r="M85">
            <v>4200000</v>
          </cell>
          <cell r="N85">
            <v>6055227</v>
          </cell>
          <cell r="O85">
            <v>1</v>
          </cell>
          <cell r="P85">
            <v>1750000</v>
          </cell>
          <cell r="Q85">
            <v>130000</v>
          </cell>
          <cell r="R85">
            <v>7.43</v>
          </cell>
          <cell r="S85">
            <v>1</v>
          </cell>
          <cell r="T85">
            <v>72000</v>
          </cell>
          <cell r="U85">
            <v>0</v>
          </cell>
          <cell r="V85">
            <v>0</v>
          </cell>
        </row>
        <row r="86">
          <cell r="A86">
            <v>85</v>
          </cell>
          <cell r="B86" t="str">
            <v>SBI Howrah Main</v>
          </cell>
          <cell r="C86" t="str">
            <v>Howrah</v>
          </cell>
          <cell r="D86" t="str">
            <v>West Bengal</v>
          </cell>
          <cell r="E86" t="str">
            <v>Eastern Region</v>
          </cell>
          <cell r="F86">
            <v>2</v>
          </cell>
          <cell r="G86">
            <v>1</v>
          </cell>
          <cell r="H86">
            <v>128000</v>
          </cell>
          <cell r="I86">
            <v>1</v>
          </cell>
          <cell r="J86">
            <v>550000</v>
          </cell>
          <cell r="K86">
            <v>385000</v>
          </cell>
          <cell r="L86">
            <v>1</v>
          </cell>
          <cell r="M86">
            <v>420000</v>
          </cell>
          <cell r="N86">
            <v>447300</v>
          </cell>
          <cell r="O86">
            <v>1</v>
          </cell>
          <cell r="P86">
            <v>100000</v>
          </cell>
          <cell r="Q86">
            <v>18000</v>
          </cell>
          <cell r="R86">
            <v>18</v>
          </cell>
          <cell r="S86">
            <v>1</v>
          </cell>
          <cell r="T86">
            <v>8000</v>
          </cell>
          <cell r="U86">
            <v>1</v>
          </cell>
          <cell r="V86">
            <v>1</v>
          </cell>
        </row>
        <row r="87">
          <cell r="A87">
            <v>86</v>
          </cell>
          <cell r="B87" t="str">
            <v>SBI Durgapur Main</v>
          </cell>
          <cell r="C87" t="str">
            <v>Durgapur</v>
          </cell>
          <cell r="D87" t="str">
            <v>West Bengal</v>
          </cell>
          <cell r="E87" t="str">
            <v>Eastern Region</v>
          </cell>
          <cell r="F87">
            <v>1</v>
          </cell>
          <cell r="G87">
            <v>1</v>
          </cell>
          <cell r="H87">
            <v>38500</v>
          </cell>
          <cell r="I87">
            <v>1</v>
          </cell>
          <cell r="J87">
            <v>58000</v>
          </cell>
          <cell r="K87">
            <v>56611</v>
          </cell>
          <cell r="L87">
            <v>1</v>
          </cell>
          <cell r="M87">
            <v>210000</v>
          </cell>
          <cell r="N87">
            <v>223125</v>
          </cell>
          <cell r="O87">
            <v>1</v>
          </cell>
          <cell r="P87">
            <v>40000</v>
          </cell>
          <cell r="Q87">
            <v>8000</v>
          </cell>
          <cell r="R87">
            <v>20</v>
          </cell>
          <cell r="S87">
            <v>1</v>
          </cell>
          <cell r="T87">
            <v>9500</v>
          </cell>
          <cell r="U87">
            <v>0</v>
          </cell>
          <cell r="V87">
            <v>0</v>
          </cell>
        </row>
        <row r="88">
          <cell r="A88">
            <v>87</v>
          </cell>
          <cell r="B88" t="str">
            <v>SBI Jalandhar Main</v>
          </cell>
          <cell r="C88" t="str">
            <v>Jalandhar</v>
          </cell>
          <cell r="D88" t="str">
            <v>Punjab</v>
          </cell>
          <cell r="E88" t="str">
            <v>Northern Region</v>
          </cell>
          <cell r="F88">
            <v>1</v>
          </cell>
          <cell r="G88">
            <v>2</v>
          </cell>
          <cell r="H88">
            <v>647000</v>
          </cell>
          <cell r="I88">
            <v>1</v>
          </cell>
          <cell r="J88">
            <v>4000000</v>
          </cell>
          <cell r="K88">
            <v>2666667</v>
          </cell>
          <cell r="L88">
            <v>1</v>
          </cell>
          <cell r="M88">
            <v>1600000</v>
          </cell>
          <cell r="N88">
            <v>1960136</v>
          </cell>
          <cell r="O88">
            <v>1</v>
          </cell>
          <cell r="P88">
            <v>420000</v>
          </cell>
          <cell r="Q88">
            <v>45000</v>
          </cell>
          <cell r="R88">
            <v>10.71</v>
          </cell>
          <cell r="S88">
            <v>1</v>
          </cell>
          <cell r="T88">
            <v>36000</v>
          </cell>
          <cell r="U88">
            <v>1</v>
          </cell>
          <cell r="V88">
            <v>1</v>
          </cell>
        </row>
        <row r="89">
          <cell r="A89">
            <v>88</v>
          </cell>
          <cell r="B89" t="str">
            <v>SBI Patiala Main</v>
          </cell>
          <cell r="C89" t="str">
            <v>Patiala</v>
          </cell>
          <cell r="D89" t="str">
            <v>Punjab</v>
          </cell>
          <cell r="E89" t="str">
            <v>Northern Region</v>
          </cell>
          <cell r="F89">
            <v>1</v>
          </cell>
          <cell r="G89">
            <v>1</v>
          </cell>
          <cell r="H89">
            <v>16500</v>
          </cell>
          <cell r="I89">
            <v>1</v>
          </cell>
          <cell r="J89">
            <v>290000</v>
          </cell>
          <cell r="K89">
            <v>289583</v>
          </cell>
          <cell r="L89">
            <v>1</v>
          </cell>
          <cell r="M89">
            <v>145000</v>
          </cell>
          <cell r="N89">
            <v>149350</v>
          </cell>
          <cell r="O89">
            <v>1</v>
          </cell>
          <cell r="P89">
            <v>50000</v>
          </cell>
          <cell r="Q89">
            <v>8000</v>
          </cell>
          <cell r="R89">
            <v>16</v>
          </cell>
          <cell r="S89">
            <v>1</v>
          </cell>
          <cell r="T89">
            <v>4200</v>
          </cell>
          <cell r="U89">
            <v>0</v>
          </cell>
          <cell r="V89">
            <v>0</v>
          </cell>
        </row>
        <row r="90">
          <cell r="A90">
            <v>89</v>
          </cell>
          <cell r="B90" t="str">
            <v>SBI Dhanbad Main</v>
          </cell>
          <cell r="C90" t="str">
            <v>Dhanbad</v>
          </cell>
          <cell r="D90" t="str">
            <v>Jharkhand</v>
          </cell>
          <cell r="E90" t="str">
            <v>Eastern Region</v>
          </cell>
          <cell r="F90">
            <v>1</v>
          </cell>
          <cell r="G90">
            <v>1</v>
          </cell>
          <cell r="H90">
            <v>1320000</v>
          </cell>
          <cell r="I90">
            <v>1</v>
          </cell>
          <cell r="J90">
            <v>6800000</v>
          </cell>
          <cell r="K90">
            <v>5780000</v>
          </cell>
          <cell r="L90">
            <v>1</v>
          </cell>
          <cell r="M90">
            <v>2200000</v>
          </cell>
          <cell r="N90">
            <v>2914080</v>
          </cell>
          <cell r="O90">
            <v>1</v>
          </cell>
          <cell r="P90">
            <v>550000</v>
          </cell>
          <cell r="Q90">
            <v>58000</v>
          </cell>
          <cell r="R90">
            <v>10.55</v>
          </cell>
          <cell r="S90">
            <v>1</v>
          </cell>
          <cell r="T90">
            <v>70000</v>
          </cell>
          <cell r="U90">
            <v>1</v>
          </cell>
          <cell r="V90">
            <v>1</v>
          </cell>
        </row>
        <row r="91">
          <cell r="A91">
            <v>90</v>
          </cell>
          <cell r="B91" t="str">
            <v>SBI Jamshedpur Main</v>
          </cell>
          <cell r="C91" t="str">
            <v>Jamshedpur</v>
          </cell>
          <cell r="D91" t="str">
            <v>Jharkhand</v>
          </cell>
          <cell r="E91" t="str">
            <v>Eastern Region</v>
          </cell>
          <cell r="F91">
            <v>1</v>
          </cell>
          <cell r="G91">
            <v>1</v>
          </cell>
          <cell r="H91">
            <v>85000</v>
          </cell>
          <cell r="I91">
            <v>1</v>
          </cell>
          <cell r="J91">
            <v>880000</v>
          </cell>
          <cell r="K91">
            <v>616000</v>
          </cell>
          <cell r="L91">
            <v>1</v>
          </cell>
          <cell r="M91">
            <v>380000</v>
          </cell>
          <cell r="N91">
            <v>417646</v>
          </cell>
          <cell r="O91">
            <v>1</v>
          </cell>
          <cell r="P91">
            <v>95000</v>
          </cell>
          <cell r="Q91">
            <v>17000</v>
          </cell>
          <cell r="R91">
            <v>17.89</v>
          </cell>
          <cell r="S91">
            <v>1</v>
          </cell>
          <cell r="T91">
            <v>22000</v>
          </cell>
          <cell r="U91">
            <v>0</v>
          </cell>
          <cell r="V91">
            <v>0</v>
          </cell>
        </row>
        <row r="92">
          <cell r="A92">
            <v>91</v>
          </cell>
          <cell r="B92" t="str">
            <v>SBI Kozhikode Main</v>
          </cell>
          <cell r="C92" t="str">
            <v>Kozhikode</v>
          </cell>
          <cell r="D92" t="str">
            <v>Kerala</v>
          </cell>
          <cell r="E92" t="str">
            <v>Southern Region</v>
          </cell>
          <cell r="F92">
            <v>1</v>
          </cell>
          <cell r="G92">
            <v>1</v>
          </cell>
          <cell r="H92">
            <v>255000</v>
          </cell>
          <cell r="I92">
            <v>1</v>
          </cell>
          <cell r="J92">
            <v>950000</v>
          </cell>
          <cell r="K92">
            <v>593750</v>
          </cell>
          <cell r="L92">
            <v>1</v>
          </cell>
          <cell r="M92">
            <v>380000</v>
          </cell>
          <cell r="N92">
            <v>403750</v>
          </cell>
          <cell r="O92">
            <v>1</v>
          </cell>
          <cell r="P92">
            <v>95000</v>
          </cell>
          <cell r="Q92">
            <v>17000</v>
          </cell>
          <cell r="R92">
            <v>17.89</v>
          </cell>
          <cell r="S92">
            <v>1</v>
          </cell>
          <cell r="T92">
            <v>11000</v>
          </cell>
          <cell r="U92">
            <v>1</v>
          </cell>
          <cell r="V92">
            <v>1</v>
          </cell>
        </row>
        <row r="93">
          <cell r="A93">
            <v>92</v>
          </cell>
          <cell r="B93" t="str">
            <v>SBI Thrissur Main</v>
          </cell>
          <cell r="C93" t="str">
            <v>Thrissur</v>
          </cell>
          <cell r="D93" t="str">
            <v>Kerala</v>
          </cell>
          <cell r="E93" t="str">
            <v>Southern Region</v>
          </cell>
          <cell r="F93">
            <v>1</v>
          </cell>
          <cell r="G93">
            <v>1</v>
          </cell>
          <cell r="H93">
            <v>62500</v>
          </cell>
          <cell r="I93">
            <v>1</v>
          </cell>
          <cell r="J93">
            <v>410000</v>
          </cell>
          <cell r="K93">
            <v>398611</v>
          </cell>
          <cell r="L93">
            <v>1</v>
          </cell>
          <cell r="M93">
            <v>265000</v>
          </cell>
          <cell r="N93">
            <v>282225</v>
          </cell>
          <cell r="O93">
            <v>1</v>
          </cell>
          <cell r="P93">
            <v>82000</v>
          </cell>
          <cell r="Q93">
            <v>14000</v>
          </cell>
          <cell r="R93">
            <v>17.07</v>
          </cell>
          <cell r="S93">
            <v>1</v>
          </cell>
          <cell r="T93">
            <v>11000</v>
          </cell>
          <cell r="U93">
            <v>0</v>
          </cell>
          <cell r="V93">
            <v>0</v>
          </cell>
        </row>
        <row r="94">
          <cell r="A94">
            <v>93</v>
          </cell>
          <cell r="B94" t="str">
            <v>SBI Srinagar Main</v>
          </cell>
          <cell r="C94" t="str">
            <v>Srinagar</v>
          </cell>
          <cell r="D94" t="str">
            <v>Jammu and Kashmir</v>
          </cell>
          <cell r="E94" t="str">
            <v>Northern Region</v>
          </cell>
          <cell r="F94">
            <v>2</v>
          </cell>
          <cell r="G94">
            <v>2</v>
          </cell>
          <cell r="H94">
            <v>370000</v>
          </cell>
          <cell r="I94">
            <v>1</v>
          </cell>
          <cell r="J94">
            <v>4500000</v>
          </cell>
          <cell r="K94">
            <v>3600000</v>
          </cell>
          <cell r="L94">
            <v>1</v>
          </cell>
          <cell r="M94">
            <v>890000</v>
          </cell>
          <cell r="N94">
            <v>978302</v>
          </cell>
          <cell r="O94">
            <v>1</v>
          </cell>
          <cell r="P94">
            <v>260000</v>
          </cell>
          <cell r="Q94">
            <v>35000</v>
          </cell>
          <cell r="R94">
            <v>13.46</v>
          </cell>
          <cell r="S94">
            <v>1</v>
          </cell>
          <cell r="T94">
            <v>40000</v>
          </cell>
          <cell r="U94">
            <v>1</v>
          </cell>
          <cell r="V94">
            <v>1</v>
          </cell>
        </row>
        <row r="95">
          <cell r="A95">
            <v>94</v>
          </cell>
          <cell r="B95" t="str">
            <v>SBI Jammu Main</v>
          </cell>
          <cell r="C95" t="str">
            <v>Srinagar</v>
          </cell>
          <cell r="D95" t="str">
            <v>Jammu and Kashmir</v>
          </cell>
          <cell r="E95" t="str">
            <v>Northern Region</v>
          </cell>
          <cell r="F95">
            <v>1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str">
            <v>NULL</v>
          </cell>
          <cell r="S95">
            <v>0</v>
          </cell>
          <cell r="T95">
            <v>0</v>
          </cell>
          <cell r="U95">
            <v>1</v>
          </cell>
          <cell r="V95">
            <v>1</v>
          </cell>
        </row>
        <row r="96">
          <cell r="A96">
            <v>95</v>
          </cell>
          <cell r="B96" t="str">
            <v>SBI Panaji Main</v>
          </cell>
          <cell r="C96" t="str">
            <v>Panaji</v>
          </cell>
          <cell r="D96" t="str">
            <v>Goa</v>
          </cell>
          <cell r="E96" t="str">
            <v>Western Region</v>
          </cell>
          <cell r="F96">
            <v>1</v>
          </cell>
          <cell r="G96">
            <v>1</v>
          </cell>
          <cell r="H96">
            <v>112000</v>
          </cell>
          <cell r="I96">
            <v>1</v>
          </cell>
          <cell r="J96">
            <v>320000</v>
          </cell>
          <cell r="K96">
            <v>315556</v>
          </cell>
          <cell r="L96">
            <v>1</v>
          </cell>
          <cell r="M96">
            <v>450000</v>
          </cell>
          <cell r="N96">
            <v>479250</v>
          </cell>
          <cell r="O96">
            <v>1</v>
          </cell>
          <cell r="P96">
            <v>88000</v>
          </cell>
          <cell r="Q96">
            <v>16000</v>
          </cell>
          <cell r="R96">
            <v>18.18</v>
          </cell>
          <cell r="S96">
            <v>1</v>
          </cell>
          <cell r="T96">
            <v>5500</v>
          </cell>
          <cell r="U96">
            <v>0</v>
          </cell>
          <cell r="V96">
            <v>0</v>
          </cell>
        </row>
        <row r="97">
          <cell r="A97">
            <v>96</v>
          </cell>
          <cell r="B97" t="str">
            <v>SBI Shimla Main</v>
          </cell>
          <cell r="C97" t="str">
            <v>Shimla</v>
          </cell>
          <cell r="D97" t="str">
            <v>Himachal Pradesh</v>
          </cell>
          <cell r="E97" t="str">
            <v>Northern Region</v>
          </cell>
          <cell r="F97">
            <v>1</v>
          </cell>
          <cell r="G97">
            <v>1</v>
          </cell>
          <cell r="H97">
            <v>475000</v>
          </cell>
          <cell r="I97">
            <v>1</v>
          </cell>
          <cell r="J97">
            <v>1450000</v>
          </cell>
          <cell r="K97">
            <v>942500</v>
          </cell>
          <cell r="L97">
            <v>1</v>
          </cell>
          <cell r="M97">
            <v>1450000</v>
          </cell>
          <cell r="N97">
            <v>1776573</v>
          </cell>
          <cell r="O97">
            <v>1</v>
          </cell>
          <cell r="P97">
            <v>480000</v>
          </cell>
          <cell r="Q97">
            <v>52000</v>
          </cell>
          <cell r="R97">
            <v>10.83</v>
          </cell>
          <cell r="S97">
            <v>1</v>
          </cell>
          <cell r="T97">
            <v>58000</v>
          </cell>
          <cell r="U97">
            <v>1</v>
          </cell>
          <cell r="V97">
            <v>1</v>
          </cell>
        </row>
        <row r="98">
          <cell r="A98">
            <v>97</v>
          </cell>
          <cell r="B98" t="str">
            <v>SBI Haridwar Main</v>
          </cell>
          <cell r="C98" t="str">
            <v>Haridwar</v>
          </cell>
          <cell r="D98" t="str">
            <v>Uttarakhand</v>
          </cell>
          <cell r="E98" t="str">
            <v>Northern Region</v>
          </cell>
          <cell r="F98">
            <v>1</v>
          </cell>
          <cell r="G98">
            <v>1</v>
          </cell>
          <cell r="H98">
            <v>32500</v>
          </cell>
          <cell r="I98">
            <v>1</v>
          </cell>
          <cell r="J98">
            <v>82000</v>
          </cell>
          <cell r="K98">
            <v>80056</v>
          </cell>
          <cell r="L98">
            <v>1</v>
          </cell>
          <cell r="M98">
            <v>180000</v>
          </cell>
          <cell r="N98">
            <v>191250</v>
          </cell>
          <cell r="O98">
            <v>1</v>
          </cell>
          <cell r="P98">
            <v>55000</v>
          </cell>
          <cell r="Q98">
            <v>10000</v>
          </cell>
          <cell r="R98">
            <v>18.18</v>
          </cell>
          <cell r="S98">
            <v>1</v>
          </cell>
          <cell r="T98">
            <v>7800</v>
          </cell>
          <cell r="U98">
            <v>0</v>
          </cell>
          <cell r="V98">
            <v>0</v>
          </cell>
        </row>
        <row r="99">
          <cell r="A99">
            <v>98</v>
          </cell>
          <cell r="B99" t="str">
            <v>SBI Rishikesh</v>
          </cell>
          <cell r="C99" t="str">
            <v>Haridwar</v>
          </cell>
          <cell r="D99" t="str">
            <v>Uttarakhand</v>
          </cell>
          <cell r="E99" t="str">
            <v>Northern Region</v>
          </cell>
          <cell r="F99">
            <v>1</v>
          </cell>
          <cell r="G99">
            <v>1</v>
          </cell>
          <cell r="H99">
            <v>168000</v>
          </cell>
          <cell r="I99">
            <v>1</v>
          </cell>
          <cell r="J99">
            <v>620000</v>
          </cell>
          <cell r="K99">
            <v>449500</v>
          </cell>
          <cell r="L99">
            <v>1</v>
          </cell>
          <cell r="M99">
            <v>320000</v>
          </cell>
          <cell r="N99">
            <v>340800</v>
          </cell>
          <cell r="O99">
            <v>1</v>
          </cell>
          <cell r="P99">
            <v>105000</v>
          </cell>
          <cell r="Q99">
            <v>17000</v>
          </cell>
          <cell r="R99">
            <v>16.19</v>
          </cell>
          <cell r="S99">
            <v>1</v>
          </cell>
          <cell r="T99">
            <v>6800</v>
          </cell>
          <cell r="U99">
            <v>1</v>
          </cell>
          <cell r="V99">
            <v>1</v>
          </cell>
        </row>
        <row r="100">
          <cell r="A100">
            <v>99</v>
          </cell>
          <cell r="B100" t="str">
            <v>SBI Imphal Main</v>
          </cell>
          <cell r="C100" t="str">
            <v>Imphal</v>
          </cell>
          <cell r="D100" t="str">
            <v>Manipur</v>
          </cell>
          <cell r="E100" t="str">
            <v>North-Eastern Region</v>
          </cell>
          <cell r="F100">
            <v>1</v>
          </cell>
          <cell r="G100">
            <v>1</v>
          </cell>
          <cell r="H100">
            <v>55500</v>
          </cell>
          <cell r="I100">
            <v>1</v>
          </cell>
          <cell r="J100">
            <v>240000</v>
          </cell>
          <cell r="K100">
            <v>240000</v>
          </cell>
          <cell r="L100">
            <v>1</v>
          </cell>
          <cell r="M100">
            <v>295000</v>
          </cell>
          <cell r="N100">
            <v>324225</v>
          </cell>
          <cell r="O100">
            <v>1</v>
          </cell>
          <cell r="P100">
            <v>38000</v>
          </cell>
          <cell r="Q100">
            <v>8000</v>
          </cell>
          <cell r="R100">
            <v>21.05</v>
          </cell>
          <cell r="S100">
            <v>1</v>
          </cell>
          <cell r="T100">
            <v>4800</v>
          </cell>
          <cell r="U100">
            <v>0</v>
          </cell>
          <cell r="V100">
            <v>0</v>
          </cell>
        </row>
        <row r="101">
          <cell r="A101">
            <v>100</v>
          </cell>
          <cell r="B101" t="str">
            <v>SBI Shillong Main</v>
          </cell>
          <cell r="C101" t="str">
            <v>Shillong</v>
          </cell>
          <cell r="D101" t="str">
            <v>Meghalaya</v>
          </cell>
          <cell r="E101" t="str">
            <v>North-Eastern Region</v>
          </cell>
          <cell r="F101">
            <v>1</v>
          </cell>
          <cell r="G101">
            <v>1</v>
          </cell>
          <cell r="H101">
            <v>305000</v>
          </cell>
          <cell r="I101">
            <v>1</v>
          </cell>
          <cell r="J101">
            <v>3200000</v>
          </cell>
          <cell r="K101">
            <v>2560000</v>
          </cell>
          <cell r="L101">
            <v>1</v>
          </cell>
          <cell r="M101">
            <v>680000</v>
          </cell>
          <cell r="N101">
            <v>775602</v>
          </cell>
          <cell r="O101">
            <v>1</v>
          </cell>
          <cell r="P101">
            <v>210000</v>
          </cell>
          <cell r="Q101">
            <v>28000</v>
          </cell>
          <cell r="R101">
            <v>13.33</v>
          </cell>
          <cell r="S101">
            <v>1</v>
          </cell>
          <cell r="T101">
            <v>34000</v>
          </cell>
          <cell r="U101">
            <v>1</v>
          </cell>
          <cell r="V101">
            <v>1</v>
          </cell>
        </row>
        <row r="102">
          <cell r="A102">
            <v>101</v>
          </cell>
          <cell r="B102" t="str">
            <v>SBI Agartala Main</v>
          </cell>
          <cell r="C102" t="str">
            <v>Agartala</v>
          </cell>
          <cell r="D102" t="str">
            <v>Tripura</v>
          </cell>
          <cell r="E102" t="str">
            <v>North-Eastern Region</v>
          </cell>
          <cell r="F102">
            <v>1</v>
          </cell>
          <cell r="G102">
            <v>1</v>
          </cell>
          <cell r="H102">
            <v>78500</v>
          </cell>
          <cell r="I102">
            <v>1</v>
          </cell>
          <cell r="J102">
            <v>52000</v>
          </cell>
          <cell r="K102">
            <v>52000</v>
          </cell>
          <cell r="L102">
            <v>1</v>
          </cell>
          <cell r="M102">
            <v>220000</v>
          </cell>
          <cell r="N102">
            <v>233750</v>
          </cell>
          <cell r="O102">
            <v>1</v>
          </cell>
          <cell r="P102">
            <v>52000</v>
          </cell>
          <cell r="Q102">
            <v>10000</v>
          </cell>
          <cell r="R102">
            <v>19.23</v>
          </cell>
          <cell r="S102">
            <v>1</v>
          </cell>
          <cell r="T102">
            <v>8500</v>
          </cell>
          <cell r="U102">
            <v>0</v>
          </cell>
          <cell r="V102">
            <v>0</v>
          </cell>
        </row>
        <row r="103">
          <cell r="A103">
            <v>102</v>
          </cell>
          <cell r="B103" t="str">
            <v>SBI Aizawl Main</v>
          </cell>
          <cell r="C103" t="str">
            <v>Aizawl</v>
          </cell>
          <cell r="D103" t="str">
            <v>Mizoram</v>
          </cell>
          <cell r="E103" t="str">
            <v>North-Eastern Region</v>
          </cell>
          <cell r="F103">
            <v>1</v>
          </cell>
          <cell r="G103">
            <v>1</v>
          </cell>
          <cell r="H103">
            <v>24000</v>
          </cell>
          <cell r="I103">
            <v>1</v>
          </cell>
          <cell r="J103">
            <v>85000</v>
          </cell>
          <cell r="K103">
            <v>70833</v>
          </cell>
          <cell r="L103">
            <v>1</v>
          </cell>
          <cell r="M103">
            <v>240000</v>
          </cell>
          <cell r="N103">
            <v>255000</v>
          </cell>
          <cell r="O103">
            <v>1</v>
          </cell>
          <cell r="P103">
            <v>50000</v>
          </cell>
          <cell r="Q103">
            <v>8000</v>
          </cell>
          <cell r="R103">
            <v>16</v>
          </cell>
          <cell r="S103">
            <v>1</v>
          </cell>
          <cell r="T103">
            <v>9500</v>
          </cell>
          <cell r="U103">
            <v>1</v>
          </cell>
          <cell r="V103">
            <v>1</v>
          </cell>
        </row>
        <row r="104">
          <cell r="A104">
            <v>103</v>
          </cell>
          <cell r="B104" t="str">
            <v>SBI Kohima Main</v>
          </cell>
          <cell r="C104" t="str">
            <v>Kohima</v>
          </cell>
          <cell r="D104" t="str">
            <v>Nagaland</v>
          </cell>
          <cell r="E104" t="str">
            <v>North-Eastern Region</v>
          </cell>
          <cell r="F104">
            <v>1</v>
          </cell>
          <cell r="G104">
            <v>1</v>
          </cell>
          <cell r="H104">
            <v>1580000</v>
          </cell>
          <cell r="I104">
            <v>1</v>
          </cell>
          <cell r="J104">
            <v>9800000</v>
          </cell>
          <cell r="K104">
            <v>6860000</v>
          </cell>
          <cell r="L104">
            <v>1</v>
          </cell>
          <cell r="M104">
            <v>3800000</v>
          </cell>
          <cell r="N104">
            <v>5478623</v>
          </cell>
          <cell r="O104">
            <v>1</v>
          </cell>
          <cell r="P104">
            <v>1550000</v>
          </cell>
          <cell r="Q104">
            <v>125000</v>
          </cell>
          <cell r="R104">
            <v>8.06</v>
          </cell>
          <cell r="S104">
            <v>1</v>
          </cell>
          <cell r="T104">
            <v>65000</v>
          </cell>
          <cell r="U104">
            <v>0</v>
          </cell>
          <cell r="V104">
            <v>0</v>
          </cell>
        </row>
        <row r="105">
          <cell r="A105">
            <v>104</v>
          </cell>
          <cell r="B105" t="str">
            <v>SBI Itanagar Main</v>
          </cell>
          <cell r="C105" t="str">
            <v>Itanagar</v>
          </cell>
          <cell r="D105" t="str">
            <v>Arunachal Pradesh</v>
          </cell>
          <cell r="E105" t="str">
            <v>North-Eastern Region</v>
          </cell>
          <cell r="F105">
            <v>1</v>
          </cell>
          <cell r="G105">
            <v>1</v>
          </cell>
          <cell r="H105">
            <v>95500</v>
          </cell>
          <cell r="I105">
            <v>1</v>
          </cell>
          <cell r="J105">
            <v>2200000</v>
          </cell>
          <cell r="K105">
            <v>1414286</v>
          </cell>
          <cell r="L105">
            <v>1</v>
          </cell>
          <cell r="M105">
            <v>950000</v>
          </cell>
          <cell r="N105">
            <v>1044094</v>
          </cell>
          <cell r="O105">
            <v>1</v>
          </cell>
          <cell r="P105">
            <v>130000</v>
          </cell>
          <cell r="Q105">
            <v>22000</v>
          </cell>
          <cell r="R105">
            <v>16.92</v>
          </cell>
          <cell r="S105">
            <v>1</v>
          </cell>
          <cell r="T105">
            <v>26000</v>
          </cell>
          <cell r="U105">
            <v>1</v>
          </cell>
          <cell r="V105">
            <v>1</v>
          </cell>
        </row>
        <row r="106">
          <cell r="A106">
            <v>105</v>
          </cell>
          <cell r="B106" t="str">
            <v>SBI Gangtok Main</v>
          </cell>
          <cell r="C106" t="str">
            <v>Gangtok</v>
          </cell>
          <cell r="D106" t="str">
            <v>Sikkim</v>
          </cell>
          <cell r="E106" t="str">
            <v>North-Eastern Region</v>
          </cell>
          <cell r="F106">
            <v>1</v>
          </cell>
          <cell r="G106">
            <v>1</v>
          </cell>
          <cell r="H106">
            <v>42500</v>
          </cell>
          <cell r="I106">
            <v>1</v>
          </cell>
          <cell r="J106">
            <v>380000</v>
          </cell>
          <cell r="K106">
            <v>380000</v>
          </cell>
          <cell r="L106">
            <v>1</v>
          </cell>
          <cell r="M106">
            <v>195000</v>
          </cell>
          <cell r="N106">
            <v>207188</v>
          </cell>
          <cell r="O106">
            <v>1</v>
          </cell>
          <cell r="P106">
            <v>42000</v>
          </cell>
          <cell r="Q106">
            <v>7000</v>
          </cell>
          <cell r="R106">
            <v>16.67</v>
          </cell>
          <cell r="S106">
            <v>1</v>
          </cell>
          <cell r="T106">
            <v>6500</v>
          </cell>
          <cell r="U106">
            <v>0</v>
          </cell>
          <cell r="V106">
            <v>0</v>
          </cell>
        </row>
        <row r="107">
          <cell r="A107">
            <v>106</v>
          </cell>
          <cell r="B107" t="str">
            <v>SBI Dibrugarh Main</v>
          </cell>
          <cell r="C107" t="str">
            <v>Dibrugarh</v>
          </cell>
          <cell r="D107" t="str">
            <v>Assam</v>
          </cell>
          <cell r="E107" t="str">
            <v>North-Eastern Region</v>
          </cell>
          <cell r="F107">
            <v>2</v>
          </cell>
          <cell r="G107">
            <v>2</v>
          </cell>
          <cell r="H107">
            <v>450500</v>
          </cell>
          <cell r="I107">
            <v>1</v>
          </cell>
          <cell r="J107">
            <v>5500000</v>
          </cell>
          <cell r="K107">
            <v>4400000</v>
          </cell>
          <cell r="L107">
            <v>1</v>
          </cell>
          <cell r="M107">
            <v>1750000</v>
          </cell>
          <cell r="N107">
            <v>2144003</v>
          </cell>
          <cell r="O107">
            <v>1</v>
          </cell>
          <cell r="P107">
            <v>350000</v>
          </cell>
          <cell r="Q107">
            <v>45000</v>
          </cell>
          <cell r="R107">
            <v>12.86</v>
          </cell>
          <cell r="S107">
            <v>1</v>
          </cell>
          <cell r="T107">
            <v>44000</v>
          </cell>
          <cell r="U107">
            <v>1</v>
          </cell>
          <cell r="V107">
            <v>1</v>
          </cell>
        </row>
        <row r="108">
          <cell r="A108">
            <v>107</v>
          </cell>
          <cell r="B108" t="str">
            <v>SBI Silchar Main</v>
          </cell>
          <cell r="C108" t="str">
            <v>Silchar</v>
          </cell>
          <cell r="D108" t="str">
            <v>Assam</v>
          </cell>
          <cell r="E108" t="str">
            <v>North-Eastern Region</v>
          </cell>
          <cell r="F108">
            <v>2</v>
          </cell>
          <cell r="G108">
            <v>1</v>
          </cell>
          <cell r="H108">
            <v>138000</v>
          </cell>
          <cell r="I108">
            <v>1</v>
          </cell>
          <cell r="J108">
            <v>1050000</v>
          </cell>
          <cell r="K108">
            <v>735000</v>
          </cell>
          <cell r="L108">
            <v>1</v>
          </cell>
          <cell r="M108">
            <v>350000</v>
          </cell>
          <cell r="N108">
            <v>384738</v>
          </cell>
          <cell r="O108">
            <v>1</v>
          </cell>
          <cell r="P108">
            <v>100000</v>
          </cell>
          <cell r="Q108">
            <v>18000</v>
          </cell>
          <cell r="R108">
            <v>18</v>
          </cell>
          <cell r="S108">
            <v>1</v>
          </cell>
          <cell r="T108">
            <v>20000</v>
          </cell>
          <cell r="U108">
            <v>1</v>
          </cell>
          <cell r="V108">
            <v>1</v>
          </cell>
        </row>
        <row r="109">
          <cell r="A109">
            <v>108</v>
          </cell>
          <cell r="B109" t="str">
            <v>SBI Lower Parel Mumbai</v>
          </cell>
          <cell r="C109" t="str">
            <v>Mumbai</v>
          </cell>
          <cell r="D109" t="str">
            <v>Maharashtra</v>
          </cell>
          <cell r="E109" t="str">
            <v>Western Region</v>
          </cell>
          <cell r="F109">
            <v>1</v>
          </cell>
          <cell r="G109">
            <v>1</v>
          </cell>
          <cell r="H109">
            <v>285500</v>
          </cell>
          <cell r="I109">
            <v>1</v>
          </cell>
          <cell r="J109">
            <v>1600000</v>
          </cell>
          <cell r="K109">
            <v>1066667</v>
          </cell>
          <cell r="L109">
            <v>1</v>
          </cell>
          <cell r="M109">
            <v>580000</v>
          </cell>
          <cell r="N109">
            <v>617700</v>
          </cell>
          <cell r="O109">
            <v>1</v>
          </cell>
          <cell r="P109">
            <v>185000</v>
          </cell>
          <cell r="Q109">
            <v>27000</v>
          </cell>
          <cell r="R109">
            <v>14.59</v>
          </cell>
          <cell r="S109">
            <v>1</v>
          </cell>
          <cell r="T109">
            <v>30000</v>
          </cell>
          <cell r="U109">
            <v>1</v>
          </cell>
          <cell r="V109">
            <v>1</v>
          </cell>
        </row>
        <row r="110">
          <cell r="A110">
            <v>109</v>
          </cell>
          <cell r="B110" t="str">
            <v>SBI BKC Mumbai</v>
          </cell>
          <cell r="C110" t="str">
            <v>Mumbai</v>
          </cell>
          <cell r="D110" t="str">
            <v>Maharashtra</v>
          </cell>
          <cell r="E110" t="str">
            <v>Western Region</v>
          </cell>
          <cell r="F110">
            <v>1</v>
          </cell>
          <cell r="G110">
            <v>1</v>
          </cell>
          <cell r="H110">
            <v>102000</v>
          </cell>
          <cell r="I110">
            <v>1</v>
          </cell>
          <cell r="J110">
            <v>450000</v>
          </cell>
          <cell r="K110">
            <v>356250</v>
          </cell>
          <cell r="L110">
            <v>1</v>
          </cell>
          <cell r="M110">
            <v>420000</v>
          </cell>
          <cell r="N110">
            <v>447300</v>
          </cell>
          <cell r="O110">
            <v>1</v>
          </cell>
          <cell r="P110">
            <v>90000</v>
          </cell>
          <cell r="Q110">
            <v>15000</v>
          </cell>
          <cell r="R110">
            <v>16.67</v>
          </cell>
          <cell r="S110">
            <v>1</v>
          </cell>
          <cell r="T110">
            <v>9800</v>
          </cell>
          <cell r="U110">
            <v>0</v>
          </cell>
          <cell r="V110">
            <v>0</v>
          </cell>
        </row>
        <row r="111">
          <cell r="A111">
            <v>110</v>
          </cell>
          <cell r="B111" t="str">
            <v>SBI Worli Mumbai</v>
          </cell>
          <cell r="C111" t="str">
            <v>Mumbai</v>
          </cell>
          <cell r="D111" t="str">
            <v>Maharashtra</v>
          </cell>
          <cell r="E111" t="str">
            <v>Western Region</v>
          </cell>
          <cell r="F111">
            <v>1</v>
          </cell>
          <cell r="G111">
            <v>1</v>
          </cell>
          <cell r="H111">
            <v>545000</v>
          </cell>
          <cell r="I111">
            <v>1</v>
          </cell>
          <cell r="J111">
            <v>480000</v>
          </cell>
          <cell r="K111">
            <v>360000</v>
          </cell>
          <cell r="L111">
            <v>1</v>
          </cell>
          <cell r="M111">
            <v>1200000</v>
          </cell>
          <cell r="N111">
            <v>1572480</v>
          </cell>
          <cell r="O111">
            <v>1</v>
          </cell>
          <cell r="P111">
            <v>620000</v>
          </cell>
          <cell r="Q111">
            <v>55000</v>
          </cell>
          <cell r="R111">
            <v>8.87</v>
          </cell>
          <cell r="S111">
            <v>1</v>
          </cell>
          <cell r="T111">
            <v>52000</v>
          </cell>
          <cell r="U111">
            <v>1</v>
          </cell>
          <cell r="V111">
            <v>1</v>
          </cell>
        </row>
        <row r="112">
          <cell r="A112">
            <v>111</v>
          </cell>
          <cell r="B112" t="str">
            <v>SBI Churchgate Mumbai</v>
          </cell>
          <cell r="C112" t="str">
            <v>Mumbai</v>
          </cell>
          <cell r="D112" t="str">
            <v>Maharashtra</v>
          </cell>
          <cell r="E112" t="str">
            <v>Western Region</v>
          </cell>
          <cell r="F112">
            <v>1</v>
          </cell>
          <cell r="G112">
            <v>1</v>
          </cell>
          <cell r="H112">
            <v>58500</v>
          </cell>
          <cell r="I112">
            <v>1</v>
          </cell>
          <cell r="J112">
            <v>70000</v>
          </cell>
          <cell r="K112">
            <v>68611</v>
          </cell>
          <cell r="L112">
            <v>1</v>
          </cell>
          <cell r="M112">
            <v>280000</v>
          </cell>
          <cell r="N112">
            <v>298200</v>
          </cell>
          <cell r="O112">
            <v>1</v>
          </cell>
          <cell r="P112">
            <v>58000</v>
          </cell>
          <cell r="Q112">
            <v>10000</v>
          </cell>
          <cell r="R112">
            <v>17.24</v>
          </cell>
          <cell r="S112">
            <v>1</v>
          </cell>
          <cell r="T112">
            <v>5200</v>
          </cell>
          <cell r="U112">
            <v>0</v>
          </cell>
          <cell r="V112">
            <v>0</v>
          </cell>
        </row>
        <row r="113">
          <cell r="A113">
            <v>112</v>
          </cell>
          <cell r="B113" t="str">
            <v>SBI Dadar Mumbai</v>
          </cell>
          <cell r="C113" t="str">
            <v>Mumbai</v>
          </cell>
          <cell r="D113" t="str">
            <v>Maharashtra</v>
          </cell>
          <cell r="E113" t="str">
            <v>Western Region</v>
          </cell>
          <cell r="F113">
            <v>1</v>
          </cell>
          <cell r="G113">
            <v>1</v>
          </cell>
          <cell r="H113">
            <v>218000</v>
          </cell>
          <cell r="I113">
            <v>1</v>
          </cell>
          <cell r="J113">
            <v>4000000</v>
          </cell>
          <cell r="K113">
            <v>3466667</v>
          </cell>
          <cell r="L113">
            <v>1</v>
          </cell>
          <cell r="M113">
            <v>450000</v>
          </cell>
          <cell r="N113">
            <v>479250</v>
          </cell>
          <cell r="O113">
            <v>1</v>
          </cell>
          <cell r="P113">
            <v>125000</v>
          </cell>
          <cell r="Q113">
            <v>20000</v>
          </cell>
          <cell r="R113">
            <v>16</v>
          </cell>
          <cell r="S113">
            <v>1</v>
          </cell>
          <cell r="T113">
            <v>17000</v>
          </cell>
          <cell r="U113">
            <v>1</v>
          </cell>
          <cell r="V113">
            <v>1</v>
          </cell>
        </row>
        <row r="114">
          <cell r="A114">
            <v>113</v>
          </cell>
          <cell r="B114" t="str">
            <v>SBI Vikhroli Mumbai</v>
          </cell>
          <cell r="C114" t="str">
            <v>Mumbai</v>
          </cell>
          <cell r="D114" t="str">
            <v>Maharashtra</v>
          </cell>
          <cell r="E114" t="str">
            <v>Western Region</v>
          </cell>
          <cell r="F114">
            <v>1</v>
          </cell>
          <cell r="G114">
            <v>1</v>
          </cell>
          <cell r="H114">
            <v>35500</v>
          </cell>
          <cell r="I114">
            <v>1</v>
          </cell>
          <cell r="J114">
            <v>35000</v>
          </cell>
          <cell r="K114">
            <v>35000</v>
          </cell>
          <cell r="L114">
            <v>1</v>
          </cell>
          <cell r="M114">
            <v>165000</v>
          </cell>
          <cell r="N114">
            <v>175313</v>
          </cell>
          <cell r="O114">
            <v>1</v>
          </cell>
          <cell r="P114">
            <v>35000</v>
          </cell>
          <cell r="Q114">
            <v>7000</v>
          </cell>
          <cell r="R114">
            <v>20</v>
          </cell>
          <cell r="S114">
            <v>1</v>
          </cell>
          <cell r="T114">
            <v>7200</v>
          </cell>
          <cell r="U114">
            <v>0</v>
          </cell>
          <cell r="V114">
            <v>0</v>
          </cell>
        </row>
        <row r="115">
          <cell r="A115">
            <v>114</v>
          </cell>
          <cell r="B115" t="str">
            <v>SBI Chembur Mumbai</v>
          </cell>
          <cell r="C115" t="str">
            <v>Mumbai</v>
          </cell>
          <cell r="D115" t="str">
            <v>Maharashtra</v>
          </cell>
          <cell r="E115" t="str">
            <v>Western Region</v>
          </cell>
          <cell r="F115">
            <v>1</v>
          </cell>
          <cell r="G115">
            <v>1</v>
          </cell>
          <cell r="H115">
            <v>398000</v>
          </cell>
          <cell r="I115">
            <v>1</v>
          </cell>
          <cell r="J115">
            <v>2500000</v>
          </cell>
          <cell r="K115">
            <v>1875000</v>
          </cell>
          <cell r="L115">
            <v>1</v>
          </cell>
          <cell r="M115">
            <v>820000</v>
          </cell>
          <cell r="N115">
            <v>935273</v>
          </cell>
          <cell r="O115">
            <v>1</v>
          </cell>
          <cell r="P115">
            <v>275000</v>
          </cell>
          <cell r="Q115">
            <v>37000</v>
          </cell>
          <cell r="R115">
            <v>13.45</v>
          </cell>
          <cell r="S115">
            <v>1</v>
          </cell>
          <cell r="T115">
            <v>38000</v>
          </cell>
          <cell r="U115">
            <v>1</v>
          </cell>
          <cell r="V115">
            <v>1</v>
          </cell>
        </row>
        <row r="116">
          <cell r="A116">
            <v>115</v>
          </cell>
          <cell r="B116" t="str">
            <v>SBI Mulund Mumbai</v>
          </cell>
          <cell r="C116" t="str">
            <v>Mumbai</v>
          </cell>
          <cell r="D116" t="str">
            <v>Maharashtra</v>
          </cell>
          <cell r="E116" t="str">
            <v>Western Region</v>
          </cell>
          <cell r="F116">
            <v>1</v>
          </cell>
          <cell r="G116">
            <v>1</v>
          </cell>
          <cell r="H116">
            <v>125500</v>
          </cell>
          <cell r="I116">
            <v>1</v>
          </cell>
          <cell r="J116">
            <v>520000</v>
          </cell>
          <cell r="K116">
            <v>422500</v>
          </cell>
          <cell r="L116">
            <v>1</v>
          </cell>
          <cell r="M116">
            <v>385000</v>
          </cell>
          <cell r="N116">
            <v>423178</v>
          </cell>
          <cell r="O116">
            <v>1</v>
          </cell>
          <cell r="P116">
            <v>78000</v>
          </cell>
          <cell r="Q116">
            <v>13000</v>
          </cell>
          <cell r="R116">
            <v>16.67</v>
          </cell>
          <cell r="S116">
            <v>1</v>
          </cell>
          <cell r="T116">
            <v>6500</v>
          </cell>
          <cell r="U116">
            <v>0</v>
          </cell>
          <cell r="V116">
            <v>0</v>
          </cell>
        </row>
        <row r="117">
          <cell r="A117">
            <v>116</v>
          </cell>
          <cell r="B117" t="str">
            <v>SBI Kandivali Mumbai</v>
          </cell>
          <cell r="C117" t="str">
            <v>Mumbai</v>
          </cell>
          <cell r="D117" t="str">
            <v>Maharashtra</v>
          </cell>
          <cell r="E117" t="str">
            <v>Western Region</v>
          </cell>
          <cell r="F117">
            <v>1</v>
          </cell>
          <cell r="G117">
            <v>1</v>
          </cell>
          <cell r="H117">
            <v>275500</v>
          </cell>
          <cell r="I117">
            <v>1</v>
          </cell>
          <cell r="J117">
            <v>1100000</v>
          </cell>
          <cell r="K117">
            <v>733333</v>
          </cell>
          <cell r="L117">
            <v>1</v>
          </cell>
          <cell r="M117">
            <v>650000</v>
          </cell>
          <cell r="N117">
            <v>714456</v>
          </cell>
          <cell r="O117">
            <v>1</v>
          </cell>
          <cell r="P117">
            <v>115000</v>
          </cell>
          <cell r="Q117">
            <v>20000</v>
          </cell>
          <cell r="R117">
            <v>17.39</v>
          </cell>
          <cell r="S117">
            <v>1</v>
          </cell>
          <cell r="T117">
            <v>7500</v>
          </cell>
          <cell r="U117">
            <v>1</v>
          </cell>
          <cell r="V117">
            <v>1</v>
          </cell>
        </row>
        <row r="118">
          <cell r="A118">
            <v>117</v>
          </cell>
          <cell r="B118" t="str">
            <v>SBI Goregaon Mumbai</v>
          </cell>
          <cell r="C118" t="str">
            <v>Mumbai</v>
          </cell>
          <cell r="D118" t="str">
            <v>Maharashtra</v>
          </cell>
          <cell r="E118" t="str">
            <v>Western Region</v>
          </cell>
          <cell r="F118">
            <v>1</v>
          </cell>
          <cell r="G118">
            <v>1</v>
          </cell>
          <cell r="H118">
            <v>68500</v>
          </cell>
          <cell r="I118">
            <v>1</v>
          </cell>
          <cell r="J118">
            <v>75000</v>
          </cell>
          <cell r="K118">
            <v>72917</v>
          </cell>
          <cell r="L118">
            <v>1</v>
          </cell>
          <cell r="M118">
            <v>240000</v>
          </cell>
          <cell r="N118">
            <v>255000</v>
          </cell>
          <cell r="O118">
            <v>1</v>
          </cell>
          <cell r="P118">
            <v>55000</v>
          </cell>
          <cell r="Q118">
            <v>10000</v>
          </cell>
          <cell r="R118">
            <v>18.18</v>
          </cell>
          <cell r="S118">
            <v>1</v>
          </cell>
          <cell r="T118">
            <v>8200</v>
          </cell>
          <cell r="U118">
            <v>0</v>
          </cell>
          <cell r="V118">
            <v>0</v>
          </cell>
        </row>
        <row r="119">
          <cell r="A119">
            <v>118</v>
          </cell>
          <cell r="B119" t="str">
            <v>SBI Versova Mumbai</v>
          </cell>
          <cell r="C119" t="str">
            <v>Mumbai</v>
          </cell>
          <cell r="D119" t="str">
            <v>Maharashtra</v>
          </cell>
          <cell r="E119" t="str">
            <v>Western Region</v>
          </cell>
          <cell r="F119">
            <v>1</v>
          </cell>
          <cell r="G119">
            <v>1</v>
          </cell>
          <cell r="H119">
            <v>485500</v>
          </cell>
          <cell r="I119">
            <v>1</v>
          </cell>
          <cell r="J119">
            <v>6200000</v>
          </cell>
          <cell r="K119">
            <v>5270000</v>
          </cell>
          <cell r="L119">
            <v>1</v>
          </cell>
          <cell r="M119">
            <v>1380000</v>
          </cell>
          <cell r="N119">
            <v>1690766</v>
          </cell>
          <cell r="O119">
            <v>1</v>
          </cell>
          <cell r="P119">
            <v>400000</v>
          </cell>
          <cell r="Q119">
            <v>45000</v>
          </cell>
          <cell r="R119">
            <v>11.25</v>
          </cell>
          <cell r="S119">
            <v>1</v>
          </cell>
          <cell r="T119">
            <v>78000</v>
          </cell>
          <cell r="U119">
            <v>1</v>
          </cell>
          <cell r="V119">
            <v>1</v>
          </cell>
        </row>
        <row r="120">
          <cell r="A120">
            <v>119</v>
          </cell>
          <cell r="B120" t="str">
            <v>SBI Santacruz Mumbai</v>
          </cell>
          <cell r="C120" t="str">
            <v>Mumbai</v>
          </cell>
          <cell r="D120" t="str">
            <v>Maharashtra</v>
          </cell>
          <cell r="E120" t="str">
            <v>Western Region</v>
          </cell>
          <cell r="F120">
            <v>1</v>
          </cell>
          <cell r="G120">
            <v>1</v>
          </cell>
          <cell r="H120">
            <v>28500</v>
          </cell>
          <cell r="I120">
            <v>1</v>
          </cell>
          <cell r="J120">
            <v>280000</v>
          </cell>
          <cell r="K120">
            <v>280000</v>
          </cell>
          <cell r="L120">
            <v>1</v>
          </cell>
          <cell r="M120">
            <v>175000</v>
          </cell>
          <cell r="N120">
            <v>185938</v>
          </cell>
          <cell r="O120">
            <v>1</v>
          </cell>
          <cell r="P120">
            <v>40000</v>
          </cell>
          <cell r="Q120">
            <v>8000</v>
          </cell>
          <cell r="R120">
            <v>20</v>
          </cell>
          <cell r="S120">
            <v>1</v>
          </cell>
          <cell r="T120">
            <v>4500</v>
          </cell>
          <cell r="U120">
            <v>0</v>
          </cell>
          <cell r="V120">
            <v>0</v>
          </cell>
        </row>
        <row r="121">
          <cell r="A121">
            <v>120</v>
          </cell>
          <cell r="B121" t="str">
            <v>SBI Juhu Mumbai</v>
          </cell>
          <cell r="C121" t="str">
            <v>Mumbai</v>
          </cell>
          <cell r="D121" t="str">
            <v>Maharashtra</v>
          </cell>
          <cell r="E121" t="str">
            <v>Western Region</v>
          </cell>
          <cell r="F121">
            <v>1</v>
          </cell>
          <cell r="G121">
            <v>1</v>
          </cell>
          <cell r="H121">
            <v>175500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str">
            <v>NULL</v>
          </cell>
          <cell r="S121">
            <v>0</v>
          </cell>
          <cell r="T121">
            <v>0</v>
          </cell>
          <cell r="U121">
            <v>1</v>
          </cell>
          <cell r="V121">
            <v>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LOAN"/>
    </sheetNames>
    <sheetDataSet>
      <sheetData sheetId="0">
        <row r="1">
          <cell r="B1" t="str">
            <v>TotalLoans</v>
          </cell>
          <cell r="C1" t="str">
            <v>PrincipalAmount</v>
          </cell>
          <cell r="D1" t="str">
            <v>OutstandingAmount</v>
          </cell>
          <cell r="E1" t="str">
            <v>AvgInterest</v>
          </cell>
          <cell r="F1" t="str">
            <v>AvgEMI</v>
          </cell>
        </row>
        <row r="2">
          <cell r="A2" t="str">
            <v>Home Loan</v>
          </cell>
          <cell r="B2">
            <v>19</v>
          </cell>
          <cell r="C2">
            <v>122900000</v>
          </cell>
          <cell r="D2">
            <v>97401667</v>
          </cell>
          <cell r="E2">
            <v>8.418421</v>
          </cell>
          <cell r="F2">
            <v>52824.894737</v>
          </cell>
        </row>
        <row r="3">
          <cell r="A3" t="str">
            <v>Car Loan</v>
          </cell>
          <cell r="B3">
            <v>11</v>
          </cell>
          <cell r="C3">
            <v>12330000</v>
          </cell>
          <cell r="D3">
            <v>7651167</v>
          </cell>
          <cell r="E3">
            <v>9.327273</v>
          </cell>
          <cell r="F3">
            <v>21533.818182</v>
          </cell>
        </row>
        <row r="4">
          <cell r="A4" t="str">
            <v>Personal Loan</v>
          </cell>
          <cell r="B4">
            <v>27</v>
          </cell>
          <cell r="C4">
            <v>11150000</v>
          </cell>
          <cell r="D4">
            <v>9126862</v>
          </cell>
          <cell r="E4">
            <v>11.574074</v>
          </cell>
          <cell r="F4">
            <v>13321.259259</v>
          </cell>
        </row>
        <row r="5">
          <cell r="A5" t="str">
            <v>Business Loan</v>
          </cell>
          <cell r="B5">
            <v>5</v>
          </cell>
          <cell r="C5">
            <v>13700000</v>
          </cell>
          <cell r="D5">
            <v>8815953</v>
          </cell>
          <cell r="E5">
            <v>12.03</v>
          </cell>
          <cell r="F5">
            <v>44727</v>
          </cell>
        </row>
        <row r="6">
          <cell r="A6" t="str">
            <v>Education Loan</v>
          </cell>
          <cell r="B6">
            <v>3</v>
          </cell>
          <cell r="C6">
            <v>4150000</v>
          </cell>
          <cell r="D6">
            <v>2713750</v>
          </cell>
          <cell r="E6">
            <v>8.15</v>
          </cell>
          <cell r="F6">
            <v>16877</v>
          </cell>
        </row>
        <row r="7">
          <cell r="A7" t="str">
            <v>Two Wheeler Loan</v>
          </cell>
          <cell r="B7">
            <v>10</v>
          </cell>
          <cell r="C7">
            <v>728000</v>
          </cell>
          <cell r="D7">
            <v>662334</v>
          </cell>
          <cell r="E7">
            <v>14</v>
          </cell>
          <cell r="F7">
            <v>2487.7</v>
          </cell>
        </row>
        <row r="8">
          <cell r="A8" t="str">
            <v>Loan Against Property</v>
          </cell>
          <cell r="B8">
            <v>4</v>
          </cell>
          <cell r="C8">
            <v>13000000</v>
          </cell>
          <cell r="D8">
            <v>10135000</v>
          </cell>
          <cell r="E8">
            <v>9.5375</v>
          </cell>
          <cell r="F8">
            <v>34806.5</v>
          </cell>
        </row>
        <row r="9">
          <cell r="A9" t="str">
            <v>Agriculture Loan</v>
          </cell>
          <cell r="B9">
            <v>3</v>
          </cell>
          <cell r="C9">
            <v>3400000</v>
          </cell>
          <cell r="D9">
            <v>2070476</v>
          </cell>
          <cell r="E9">
            <v>7.033333</v>
          </cell>
          <cell r="F9">
            <v>18843.333333</v>
          </cell>
        </row>
        <row r="10">
          <cell r="A10" t="str">
            <v>Consumer Durable Loan</v>
          </cell>
          <cell r="B10">
            <v>8</v>
          </cell>
          <cell r="C10">
            <v>377000</v>
          </cell>
          <cell r="D10">
            <v>337278</v>
          </cell>
          <cell r="E10">
            <v>15</v>
          </cell>
          <cell r="F10">
            <v>3465.625</v>
          </cell>
        </row>
        <row r="11">
          <cell r="A11" t="str">
            <v>Mudra Loan</v>
          </cell>
          <cell r="B11">
            <v>3</v>
          </cell>
          <cell r="C11">
            <v>1300000</v>
          </cell>
          <cell r="D11">
            <v>1273334</v>
          </cell>
          <cell r="E11">
            <v>8</v>
          </cell>
          <cell r="F11">
            <v>9269</v>
          </cell>
        </row>
        <row r="12">
          <cell r="A12" t="str">
            <v>MSME Loan</v>
          </cell>
          <cell r="B12">
            <v>2</v>
          </cell>
          <cell r="C12">
            <v>1950000</v>
          </cell>
          <cell r="D12">
            <v>1635714</v>
          </cell>
          <cell r="E12">
            <v>9.775</v>
          </cell>
          <cell r="F12">
            <v>14881</v>
          </cell>
        </row>
        <row r="13">
          <cell r="A13" t="str">
            <v>Gold Loan</v>
          </cell>
          <cell r="B13">
            <v>5</v>
          </cell>
          <cell r="C13">
            <v>1230000</v>
          </cell>
          <cell r="D13">
            <v>1194416</v>
          </cell>
          <cell r="E13">
            <v>7.5</v>
          </cell>
          <cell r="F13">
            <v>10499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SBI_REPORT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LOAN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SBI_REPORT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29.488275463" refreshedBy="kumku" recordCount="120">
  <cacheSource type="worksheet">
    <worksheetSource name="Table1" r:id="rId2"/>
  </cacheSource>
  <cacheFields count="22">
    <cacheField name="branch_id" numFmtId="0">
      <sharedItems containsSemiMixedTypes="0" containsString="0" containsNumber="1" containsInteger="1" minValue="0" maxValue="120" count="1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</sharedItems>
    </cacheField>
    <cacheField name="branch_name" numFmtId="0">
      <sharedItems count="120">
        <s v="SBI Main Branch Mumbai"/>
        <s v="SBI Fort Branch"/>
        <s v="SBI Andheri Branch"/>
        <s v="SBI Bandra Branch"/>
        <s v="SBI Pune Camp Branch"/>
        <s v="SBI Shivajinagar Pune"/>
        <s v="SBI Nagpur Main"/>
        <s v="SBI Connaught Place Delhi"/>
        <s v="SBI Karol Bagh Delhi"/>
        <s v="SBI Dwarka Delhi"/>
        <s v="SBI MG Road Bengaluru"/>
        <s v="SBI Koramangala"/>
        <s v="SBI Whitefield"/>
        <s v="SBI Chennai Main"/>
        <s v="SBI T Nagar Chennai"/>
        <s v="SBI Ahmedabad Main"/>
        <s v="SBI CG Road Ahmedabad"/>
        <s v="SBI Surat Main"/>
        <s v="SBI Kolkata Main"/>
        <s v="SBI Salt Lake Kolkata"/>
        <s v="SBI Lucknow Main"/>
        <s v="SBI Gomti Nagar"/>
        <s v="SBI Jaipur Main"/>
        <s v="SBI Vaishali Nagar Jaipur"/>
        <s v="SBI Bhopal Main"/>
        <s v="SBI Hyderabad Main"/>
        <s v="SBI Banjara Hills"/>
        <s v="SBI HITEC City"/>
        <s v="SBI Thiruvananthapuram"/>
        <s v="SBI Kochi Main"/>
        <s v="SBI Chandigarh Main"/>
        <s v="SBI Gurugram Cyber City"/>
        <s v="SBI Patna Main"/>
        <s v="SBI Bhubaneswar Main"/>
        <s v="SBI Guwahati Main"/>
        <s v="SBI Ranchi Main"/>
        <s v="SBI Dehradun Main"/>
        <s v="SBI Nashik Main"/>
        <s v="SBI Mysuru Main"/>
        <s v="SBI Coimbatore Main"/>
        <s v="SBI Vadodara Main"/>
        <s v="SBI Ludhiana Main"/>
        <s v="SBI Amritsar Main"/>
        <s v="SBI Visakhapatnam"/>
        <s v="SBI Indore Main"/>
        <s v="SBI Raipur Main"/>
        <s v="SBI Thane Main"/>
        <s v="SBI Noida Sector 18"/>
        <s v="SBI Ghaziabad Main"/>
        <s v="SBI Navi Mumbai Vashi"/>
        <s v="SBI Powai Mumbai"/>
        <s v="SBI Borivali Mumbai"/>
        <s v="SBI Malad Mumbai"/>
        <s v="SBI Hinjewadi Pune"/>
        <s v="SBI Kothrud Pune"/>
        <s v="SBI Electronic City"/>
        <s v="SBI HSR Layout"/>
        <s v="SBI Marathahalli"/>
        <s v="SBI Velachery Chennai"/>
        <s v="SBI OMR Chennai"/>
        <s v="SBI Prahlad Nagar"/>
        <s v="SBI Satellite Ahmedabad"/>
        <s v="SBI Park Street Kolkata"/>
        <s v="SBI New Town Kolkata"/>
        <s v="SBI Saket Delhi"/>
        <s v="SBI Rohini Delhi"/>
        <s v="SBI Madhapur Hyderabad"/>
        <s v="SBI Gachibowli"/>
        <s v="SBI Varanasi Main"/>
        <s v="SBI Agra Main"/>
        <s v="SBI Kanpur Main"/>
        <s v="SBI Prayagraj Main"/>
        <s v="SBI Jodhpur Main"/>
        <s v="SBI Udaipur Main"/>
        <s v="SBI Kota Main"/>
        <s v="SBI Jabalpur Main"/>
        <s v="SBI Gwalior Main"/>
        <s v="SBI Hubli Main"/>
        <s v="SBI Mangaluru Main"/>
        <s v="SBI Madurai Main"/>
        <s v="SBI Salem Main"/>
        <s v="SBI Rajkot Main"/>
        <s v="SBI Jamnagar Main"/>
        <s v="SBI Siliguri Main"/>
        <s v="SBI Howrah Main"/>
        <s v="SBI Durgapur Main"/>
        <s v="SBI Jalandhar Main"/>
        <s v="SBI Patiala Main"/>
        <s v="SBI Dhanbad Main"/>
        <s v="SBI Jamshedpur Main"/>
        <s v="SBI Kozhikode Main"/>
        <s v="SBI Thrissur Main"/>
        <s v="SBI Srinagar Main"/>
        <s v="SBI Jammu Main"/>
        <s v="SBI Panaji Main"/>
        <s v="SBI Shimla Main"/>
        <s v="SBI Haridwar Main"/>
        <s v="SBI Rishikesh"/>
        <s v="SBI Imphal Main"/>
        <s v="SBI Shillong Main"/>
        <s v="SBI Agartala Main"/>
        <s v="SBI Aizawl Main"/>
        <s v="SBI Kohima Main"/>
        <s v="SBI Itanagar Main"/>
        <s v="SBI Gangtok Main"/>
        <s v="SBI Dibrugarh Main"/>
        <s v="SBI Silchar Main"/>
        <s v="SBI Lower Parel Mumbai"/>
        <s v="SBI BKC Mumbai"/>
        <s v="SBI Worli Mumbai"/>
        <s v="SBI Churchgate Mumbai"/>
        <s v="SBI Dadar Mumbai"/>
        <s v="SBI Vikhroli Mumbai"/>
        <s v="SBI Chembur Mumbai"/>
        <s v="SBI Mulund Mumbai"/>
        <s v="SBI Kandivali Mumbai"/>
        <s v="SBI Goregaon Mumbai"/>
        <s v="SBI Versova Mumbai"/>
        <s v="SBI Santacruz Mumbai"/>
        <s v="SBI Juhu Mumbai"/>
      </sharedItems>
    </cacheField>
    <cacheField name="city_name" numFmtId="0">
      <sharedItems count="72">
        <s v="Mumbai"/>
        <s v="Pune"/>
        <s v="Nagpur"/>
        <s v="New Delhi"/>
        <s v="Bengaluru"/>
        <s v="Chennai"/>
        <s v="Ahmedabad"/>
        <s v="Surat"/>
        <s v="Kolkata"/>
        <s v="Lucknow"/>
        <s v="Jaipur"/>
        <s v="Bhopal"/>
        <s v="Hyderabad"/>
        <s v="Thiruvananthapuram"/>
        <s v="Kochi"/>
        <s v="Chandigarh"/>
        <s v="Gurugram"/>
        <s v="Patna"/>
        <s v="Bhubaneswar"/>
        <s v="Guwahati"/>
        <s v="Ranchi"/>
        <s v="Dehradun"/>
        <s v="Nashik"/>
        <s v="Mysuru"/>
        <s v="Coimbatore"/>
        <s v="Vadodara"/>
        <s v="Ludhiana"/>
        <s v="Amritsar"/>
        <s v="Visakhapatnam"/>
        <s v="Indore"/>
        <s v="Raipur"/>
        <s v="Thane"/>
        <s v="Noida"/>
        <s v="Ghaziabad"/>
        <s v="Navi Mumbai"/>
        <s v="Varanasi"/>
        <s v="Agra"/>
        <s v="Kanpur"/>
        <s v="Prayagraj"/>
        <s v="Jodhpur"/>
        <s v="Udaipur"/>
        <s v="Kota"/>
        <s v="Jabalpur"/>
        <s v="Gwalior"/>
        <s v="Hubli"/>
        <s v="Mangaluru"/>
        <s v="Madurai"/>
        <s v="Salem"/>
        <s v="Rajkot"/>
        <s v="Jamnagar"/>
        <s v="Siliguri"/>
        <s v="Howrah"/>
        <s v="Durgapur"/>
        <s v="Jalandhar"/>
        <s v="Patiala"/>
        <s v="Dhanbad"/>
        <s v="Jamshedpur"/>
        <s v="Kozhikode"/>
        <s v="Thrissur"/>
        <s v="Srinagar"/>
        <s v="Panaji"/>
        <s v="Shimla"/>
        <s v="Haridwar"/>
        <s v="Imphal"/>
        <s v="Shillong"/>
        <s v="Agartala"/>
        <s v="Aizawl"/>
        <s v="Kohima"/>
        <s v="Itanagar"/>
        <s v="Gangtok"/>
        <s v="Dibrugarh"/>
        <s v="Silchar"/>
      </sharedItems>
    </cacheField>
    <cacheField name="state_name" numFmtId="0">
      <sharedItems count="30">
        <s v="Maharashtra"/>
        <s v="Delhi"/>
        <s v="Karnataka"/>
        <s v="Tamil Nadu"/>
        <s v="Gujarat"/>
        <s v="West Bengal"/>
        <s v="Uttar Pradesh"/>
        <s v="Rajasthan"/>
        <s v="Madhya Pradesh"/>
        <s v="Telangana"/>
        <s v="Kerala"/>
        <s v="Haryana"/>
        <s v="Bihar"/>
        <s v="Odisha"/>
        <s v="Assam"/>
        <s v="Jharkhand"/>
        <s v="Uttarakhand"/>
        <s v="Punjab"/>
        <s v="Andhra Pradesh"/>
        <s v="Chhattisgarh"/>
        <s v="Jammu and Kashmir"/>
        <s v="Goa"/>
        <s v="Himachal Pradesh"/>
        <s v="Manipur"/>
        <s v="Meghalaya"/>
        <s v="Tripura"/>
        <s v="Mizoram"/>
        <s v="Nagaland"/>
        <s v="Arunachal Pradesh"/>
        <s v="Sikkim"/>
      </sharedItems>
    </cacheField>
    <cacheField name="region_name" numFmtId="0">
      <sharedItems count="6">
        <s v="Western Region"/>
        <s v="Northern Region"/>
        <s v="Southern Region"/>
        <s v="Eastern Region"/>
        <s v="Central Region"/>
        <s v="North-Eastern Region"/>
      </sharedItems>
    </cacheField>
    <cacheField name="total_customers" numFmtId="0">
      <sharedItems containsSemiMixedTypes="0" containsString="0" containsNumber="1" containsInteger="1" minValue="0" maxValue="4" count="5">
        <n v="1"/>
        <n v="0"/>
        <n v="2"/>
        <n v="4"/>
        <n v="3"/>
      </sharedItems>
    </cacheField>
    <cacheField name="total_accounts" numFmtId="0">
      <sharedItems containsSemiMixedTypes="0" containsString="0" containsNumber="1" containsInteger="1" minValue="0" maxValue="2" count="3">
        <n v="2"/>
        <n v="0"/>
        <n v="1"/>
      </sharedItems>
    </cacheField>
    <cacheField name="total_deposits" numFmtId="0">
      <sharedItems containsSemiMixedTypes="0" containsString="0" containsNumber="1" minValue="0" maxValue="9000000" count="112">
        <n v="1535000.5"/>
        <n v="0"/>
        <n v="95500"/>
        <n v="142500.75"/>
        <n v="3370000"/>
        <n v="1925000"/>
        <n v="500000"/>
        <n v="52500"/>
        <n v="245000"/>
        <n v="78500.25"/>
        <n v="118000"/>
        <n v="268000"/>
        <n v="45200.5"/>
        <n v="72500"/>
        <n v="28750"/>
        <n v="585000"/>
        <n v="108000"/>
        <n v="5750000"/>
        <n v="425000"/>
        <n v="95000"/>
        <n v="38500"/>
        <n v="317000.5"/>
        <n v="1685000"/>
        <n v="165000"/>
        <n v="62000"/>
        <n v="98500"/>
        <n v="235000"/>
        <n v="8300000"/>
        <n v="680000"/>
        <n v="125000"/>
        <n v="188000"/>
        <n v="35000"/>
        <n v="158000"/>
        <n v="975000"/>
        <n v="18000"/>
        <n v="478000"/>
        <n v="72000"/>
        <n v="5700000"/>
        <n v="15000"/>
        <n v="195000"/>
        <n v="88000"/>
        <n v="2710000"/>
        <n v="135000"/>
        <n v="223000"/>
        <n v="210000"/>
        <n v="52000"/>
        <n v="38000"/>
        <n v="485000"/>
        <n v="25000"/>
        <n v="168000"/>
        <n v="9000000"/>
        <n v="42000"/>
        <n v="115000"/>
        <n v="490000"/>
        <n v="68000"/>
        <n v="185000"/>
        <n v="32000"/>
        <n v="19500"/>
        <n v="4650000"/>
        <n v="82000"/>
        <n v="58000"/>
        <n v="323000"/>
        <n v="45000"/>
        <n v="380000"/>
        <n v="28000"/>
        <n v="295000"/>
        <n v="105000"/>
        <n v="430000"/>
        <n v="75000"/>
        <n v="2470000"/>
        <n v="35500"/>
        <n v="148000"/>
        <n v="55000"/>
        <n v="413000"/>
        <n v="92000"/>
        <n v="5930000"/>
        <n v="48000"/>
        <n v="335000"/>
        <n v="21000"/>
        <n v="178000"/>
        <n v="2450000"/>
        <n v="128000"/>
        <n v="647000"/>
        <n v="16500"/>
        <n v="1320000"/>
        <n v="85000"/>
        <n v="255000"/>
        <n v="62500"/>
        <n v="370000"/>
        <n v="112000"/>
        <n v="475000"/>
        <n v="32500"/>
        <n v="55500"/>
        <n v="305000"/>
        <n v="78500"/>
        <n v="24000"/>
        <n v="1580000"/>
        <n v="42500"/>
        <n v="450500"/>
        <n v="138000"/>
        <n v="285500"/>
        <n v="102000"/>
        <n v="545000"/>
        <n v="58500"/>
        <n v="218000"/>
        <n v="398000"/>
        <n v="125500"/>
        <n v="275500"/>
        <n v="68500"/>
        <n v="485500"/>
        <n v="28500"/>
        <n v="175500"/>
      </sharedItems>
    </cacheField>
    <cacheField name="total_loans" numFmtId="0">
      <sharedItems containsSemiMixedTypes="0" containsString="0" containsNumber="1" containsInteger="1" minValue="0" maxValue="1" count="2">
        <n v="1"/>
        <n v="0"/>
      </sharedItems>
    </cacheField>
    <cacheField name="total_loan_amount" numFmtId="0">
      <sharedItems containsSemiMixedTypes="0" containsString="0" containsNumber="1" containsInteger="1" minValue="0" maxValue="12000000" count="80">
        <n v="4500000"/>
        <n v="0"/>
        <n v="300000"/>
        <n v="850000"/>
        <n v="500000"/>
        <n v="68000"/>
        <n v="420000"/>
        <n v="45000"/>
        <n v="2500000"/>
        <n v="280000"/>
        <n v="1200000"/>
        <n v="72000"/>
        <n v="8500000"/>
        <n v="6500000"/>
        <n v="380000"/>
        <n v="75000"/>
        <n v="55000"/>
        <n v="220000"/>
        <n v="350000"/>
        <n v="65000"/>
        <n v="5200000"/>
        <n v="3500000"/>
        <n v="750000"/>
        <n v="800000"/>
        <n v="600000"/>
        <n v="950000"/>
        <n v="450000"/>
        <n v="7200000"/>
        <n v="38000"/>
        <n v="1800000"/>
        <n v="12000000"/>
        <n v="2000000"/>
        <n v="520000"/>
        <n v="920000"/>
        <n v="3800000"/>
        <n v="340000"/>
        <n v="1100000"/>
        <n v="62000"/>
        <n v="9500000"/>
        <n v="480000"/>
        <n v="4200000"/>
        <n v="78000"/>
        <n v="260000"/>
        <n v="3200000"/>
        <n v="42000"/>
        <n v="5800000"/>
        <n v="250000"/>
        <n v="1350000"/>
        <n v="180000"/>
        <n v="1500000"/>
        <n v="320000"/>
        <n v="400000"/>
        <n v="200000"/>
        <n v="7500000"/>
        <n v="360000"/>
        <n v="2800000"/>
        <n v="48000"/>
        <n v="980000"/>
        <n v="8200000"/>
        <n v="550000"/>
        <n v="58000"/>
        <n v="4000000"/>
        <n v="290000"/>
        <n v="6800000"/>
        <n v="880000"/>
        <n v="410000"/>
        <n v="1450000"/>
        <n v="82000"/>
        <n v="620000"/>
        <n v="240000"/>
        <n v="52000"/>
        <n v="85000"/>
        <n v="9800000"/>
        <n v="2200000"/>
        <n v="5500000"/>
        <n v="1050000"/>
        <n v="1600000"/>
        <n v="70000"/>
        <n v="35000"/>
        <n v="6200000"/>
      </sharedItems>
    </cacheField>
    <cacheField name="outstanding_loan_amount" numFmtId="0">
      <sharedItems containsSemiMixedTypes="0" containsString="0" containsNumber="1" containsInteger="1" minValue="0" maxValue="8400000" count="98">
        <n v="3850000"/>
        <n v="0"/>
        <n v="262500"/>
        <n v="425000"/>
        <n v="312500"/>
        <n v="62333"/>
        <n v="385000"/>
        <n v="35000"/>
        <n v="1575000"/>
        <n v="256667"/>
        <n v="720000"/>
        <n v="68000"/>
        <n v="6800000"/>
        <n v="5720000"/>
        <n v="355556"/>
        <n v="45000"/>
        <n v="48889"/>
        <n v="680000"/>
        <n v="211667"/>
        <n v="245000"/>
        <n v="63056"/>
        <n v="4160000"/>
        <n v="491667"/>
        <n v="2800000"/>
        <n v="660714"/>
        <n v="480000"/>
        <n v="335417"/>
        <n v="412500"/>
        <n v="975000"/>
        <n v="475000"/>
        <n v="446250"/>
        <n v="6120000"/>
        <n v="25333"/>
        <n v="1080000"/>
        <n v="8400000"/>
        <n v="1400000"/>
        <n v="390000"/>
        <n v="337500"/>
        <n v="598000"/>
        <n v="3040000"/>
        <n v="321111"/>
        <n v="715000"/>
        <n v="58556"/>
        <n v="7600000"/>
        <n v="370000"/>
        <n v="3360000"/>
        <n v="74917"/>
        <n v="468750"/>
        <n v="260000"/>
        <n v="2080000"/>
        <n v="38500"/>
        <n v="4640000"/>
        <n v="239583"/>
        <n v="810000"/>
        <n v="175000"/>
        <n v="857143"/>
        <n v="309333"/>
        <n v="311111"/>
        <n v="195833"/>
        <n v="274667"/>
        <n v="5625000"/>
        <n v="350000"/>
        <n v="2100000"/>
        <n v="44000"/>
        <n v="588000"/>
        <n v="6150000"/>
        <n v="56611"/>
        <n v="2666667"/>
        <n v="289583"/>
        <n v="5780000"/>
        <n v="616000"/>
        <n v="593750"/>
        <n v="398611"/>
        <n v="3600000"/>
        <n v="315556"/>
        <n v="942500"/>
        <n v="80056"/>
        <n v="449500"/>
        <n v="240000"/>
        <n v="2560000"/>
        <n v="52000"/>
        <n v="70833"/>
        <n v="6860000"/>
        <n v="1414286"/>
        <n v="380000"/>
        <n v="4400000"/>
        <n v="735000"/>
        <n v="1066667"/>
        <n v="356250"/>
        <n v="360000"/>
        <n v="68611"/>
        <n v="3466667"/>
        <n v="1875000"/>
        <n v="422500"/>
        <n v="733333"/>
        <n v="72917"/>
        <n v="5270000"/>
        <n v="280000"/>
      </sharedItems>
    </cacheField>
    <cacheField name="total_fixed_deposits" numFmtId="0">
      <sharedItems containsSemiMixedTypes="0" containsString="0" containsNumber="1" containsInteger="1" minValue="0" maxValue="1" count="2">
        <n v="1"/>
        <n v="0"/>
      </sharedItems>
    </cacheField>
    <cacheField name="fd_amount" numFmtId="0">
      <sharedItems containsSemiMixedTypes="0" containsString="0" containsNumber="1" containsInteger="1" minValue="0" maxValue="5000000" count="65">
        <n v="500000"/>
        <n v="0"/>
        <n v="180000"/>
        <n v="1000000"/>
        <n v="250000"/>
        <n v="350000"/>
        <n v="120000"/>
        <n v="200000"/>
        <n v="5000000"/>
        <n v="280000"/>
        <n v="150000"/>
        <n v="3000000"/>
        <n v="2000000"/>
        <n v="420000"/>
        <n v="95000"/>
        <n v="800000"/>
        <n v="450000"/>
        <n v="1500000"/>
        <n v="100000"/>
        <n v="600000"/>
        <n v="320000"/>
        <n v="900000"/>
        <n v="580000"/>
        <n v="750000"/>
        <n v="1200000"/>
        <n v="135000"/>
        <n v="400000"/>
        <n v="3500000"/>
        <n v="550000"/>
        <n v="300000"/>
        <n v="850000"/>
        <n v="1800000"/>
        <n v="110000"/>
        <n v="2500000"/>
        <n v="700000"/>
        <n v="220000"/>
        <n v="480000"/>
        <n v="1100000"/>
        <n v="185000"/>
        <n v="650000"/>
        <n v="950000"/>
        <n v="1350000"/>
        <n v="195000"/>
        <n v="520000"/>
        <n v="4000000"/>
        <n v="175000"/>
        <n v="130000"/>
        <n v="4200000"/>
        <n v="210000"/>
        <n v="1600000"/>
        <n v="145000"/>
        <n v="2200000"/>
        <n v="380000"/>
        <n v="265000"/>
        <n v="890000"/>
        <n v="1450000"/>
        <n v="295000"/>
        <n v="680000"/>
        <n v="240000"/>
        <n v="3800000"/>
        <n v="1750000"/>
        <n v="165000"/>
        <n v="820000"/>
        <n v="385000"/>
        <n v="1380000"/>
      </sharedItems>
    </cacheField>
    <cacheField name="maturity_amount" numFmtId="0">
      <sharedItems containsSemiMixedTypes="0" containsString="0" containsNumber="1" containsInteger="1" minValue="0" maxValue="7136719" count="80">
        <n v="532500"/>
        <n v="0"/>
        <n v="191250"/>
        <n v="1143563"/>
        <n v="257813"/>
        <n v="372750"/>
        <n v="123750"/>
        <n v="213000"/>
        <n v="7136719"/>
        <n v="307699"/>
        <n v="159375"/>
        <n v="4326019"/>
        <n v="2450086"/>
        <n v="447300"/>
        <n v="97850"/>
        <n v="912460"/>
        <n v="494663"/>
        <n v="266250"/>
        <n v="1837628"/>
        <n v="103000"/>
        <n v="639000"/>
        <n v="351680"/>
        <n v="1026209"/>
        <n v="479250"/>
        <n v="206250"/>
        <n v="661481"/>
        <n v="798750"/>
        <n v="212500"/>
        <n v="1470102"/>
        <n v="139050"/>
        <n v="439627"/>
        <n v="5046022"/>
        <n v="627314"/>
        <n v="298200"/>
        <n v="318750"/>
        <n v="461580"/>
        <n v="905250"/>
        <n v="2359800"/>
        <n v="113300"/>
        <n v="3568359"/>
        <n v="745500"/>
        <n v="233750"/>
        <n v="547478"/>
        <n v="1347761"/>
        <n v="190550"/>
        <n v="714456"/>
        <n v="1083391"/>
        <n v="1654003"/>
        <n v="207188"/>
        <n v="297500"/>
        <n v="340800"/>
        <n v="553800"/>
        <n v="274813"/>
        <n v="5768025"/>
        <n v="185938"/>
        <n v="824438"/>
        <n v="133900"/>
        <n v="6055227"/>
        <n v="223125"/>
        <n v="1960136"/>
        <n v="149350"/>
        <n v="2914080"/>
        <n v="417646"/>
        <n v="403750"/>
        <n v="282225"/>
        <n v="978302"/>
        <n v="1776573"/>
        <n v="324225"/>
        <n v="775602"/>
        <n v="255000"/>
        <n v="5478623"/>
        <n v="1044094"/>
        <n v="2144003"/>
        <n v="384738"/>
        <n v="617700"/>
        <n v="1572480"/>
        <n v="175313"/>
        <n v="935273"/>
        <n v="423178"/>
        <n v="1690766"/>
      </sharedItems>
    </cacheField>
    <cacheField name="total_credit_cards" numFmtId="0">
      <sharedItems containsSemiMixedTypes="0" containsString="0" containsNumber="1" containsInteger="1" minValue="0" maxValue="1" count="2">
        <n v="1"/>
        <n v="0"/>
      </sharedItems>
    </cacheField>
    <cacheField name="total_credit_limit" numFmtId="0">
      <sharedItems containsSemiMixedTypes="0" containsString="0" containsNumber="1" containsInteger="1" minValue="0" maxValue="2000000" count="66">
        <n v="500000"/>
        <n v="0"/>
        <n v="65000"/>
        <n v="300000"/>
        <n v="150000"/>
        <n v="45000"/>
        <n v="40000"/>
        <n v="55000"/>
        <n v="1500000"/>
        <n v="48000"/>
        <n v="100000"/>
        <n v="70000"/>
        <n v="2000000"/>
        <n v="750000"/>
        <n v="52000"/>
        <n v="75000"/>
        <n v="50000"/>
        <n v="200000"/>
        <n v="38000"/>
        <n v="350000"/>
        <n v="62000"/>
        <n v="600000"/>
        <n v="42000"/>
        <n v="120000"/>
        <n v="250000"/>
        <n v="95000"/>
        <n v="108000"/>
        <n v="80000"/>
        <n v="58000"/>
        <n v="450000"/>
        <n v="35000"/>
        <n v="280000"/>
        <n v="1650000"/>
        <n v="110000"/>
        <n v="220000"/>
        <n v="98000"/>
        <n v="130000"/>
        <n v="520000"/>
        <n v="1200000"/>
        <n v="88000"/>
        <n v="380000"/>
        <n v="195000"/>
        <n v="82000"/>
        <n v="140000"/>
        <n v="92000"/>
        <n v="680000"/>
        <n v="60000"/>
        <n v="90000"/>
        <n v="125000"/>
        <n v="85000"/>
        <n v="1800000"/>
        <n v="240000"/>
        <n v="115000"/>
        <n v="1750000"/>
        <n v="420000"/>
        <n v="550000"/>
        <n v="260000"/>
        <n v="480000"/>
        <n v="105000"/>
        <n v="210000"/>
        <n v="1550000"/>
        <n v="185000"/>
        <n v="620000"/>
        <n v="275000"/>
        <n v="78000"/>
        <n v="400000"/>
      </sharedItems>
    </cacheField>
    <cacheField name="utilized_credit" numFmtId="0">
      <sharedItems containsSemiMixedTypes="0" containsString="0" containsNumber="1" containsInteger="1" minValue="0" maxValue="180000" count="33">
        <n v="75000"/>
        <n v="0"/>
        <n v="13000"/>
        <n v="35000"/>
        <n v="22000"/>
        <n v="7000"/>
        <n v="8000"/>
        <n v="10000"/>
        <n v="150000"/>
        <n v="15000"/>
        <n v="12000"/>
        <n v="180000"/>
        <n v="70000"/>
        <n v="25000"/>
        <n v="40000"/>
        <n v="55000"/>
        <n v="32000"/>
        <n v="17000"/>
        <n v="18000"/>
        <n v="52000"/>
        <n v="130000"/>
        <n v="28000"/>
        <n v="16000"/>
        <n v="115000"/>
        <n v="38000"/>
        <n v="45000"/>
        <n v="27000"/>
        <n v="14000"/>
        <n v="65000"/>
        <n v="20000"/>
        <n v="58000"/>
        <n v="125000"/>
        <n v="37000"/>
      </sharedItems>
    </cacheField>
    <cacheField name="utilization_percent" numFmtId="0">
      <sharedItems containsNumber="1" containsMixedTypes="1" count="55">
        <n v="15"/>
        <s v="NULL"/>
        <n v="20"/>
        <n v="11.67"/>
        <n v="14.67"/>
        <n v="15.56"/>
        <n v="18.18"/>
        <n v="10"/>
        <n v="16.67"/>
        <n v="17.14"/>
        <n v="9"/>
        <n v="9.33"/>
        <n v="19.23"/>
        <n v="17.33"/>
        <n v="16"/>
        <n v="12.5"/>
        <n v="21.05"/>
        <n v="11.43"/>
        <n v="16.13"/>
        <n v="9.17"/>
        <n v="18.33"/>
        <n v="12.8"/>
        <n v="17.89"/>
        <n v="18"/>
        <n v="18.75"/>
        <n v="17.24"/>
        <n v="11.56"/>
        <n v="7.88"/>
        <n v="16.36"/>
        <n v="12.73"/>
        <n v="16.33"/>
        <n v="16.92"/>
        <n v="9.58"/>
        <n v="13.57"/>
        <n v="11.84"/>
        <n v="13.85"/>
        <n v="17.07"/>
        <n v="15.71"/>
        <n v="17.39"/>
        <n v="9.56"/>
        <n v="17.65"/>
        <n v="8.33"/>
        <n v="13.33"/>
        <n v="7.43"/>
        <n v="10.71"/>
        <n v="10.55"/>
        <n v="13.46"/>
        <n v="10.83"/>
        <n v="16.19"/>
        <n v="8.06"/>
        <n v="12.86"/>
        <n v="14.59"/>
        <n v="8.87"/>
        <n v="13.45"/>
        <n v="11.25"/>
      </sharedItems>
    </cacheField>
    <cacheField name="insurance_policies" numFmtId="0">
      <sharedItems containsSemiMixedTypes="0" containsString="0" containsNumber="1" containsInteger="1" minValue="0" maxValue="1" count="2">
        <n v="1"/>
        <n v="0"/>
      </sharedItems>
    </cacheField>
    <cacheField name="insurance_premium" numFmtId="0">
      <sharedItems containsSemiMixedTypes="0" containsString="0" containsNumber="1" containsInteger="1" minValue="0" maxValue="85000" count="68">
        <n v="25000"/>
        <n v="0"/>
        <n v="10500"/>
        <n v="50000"/>
        <n v="18000"/>
        <n v="5200"/>
        <n v="8500"/>
        <n v="4800"/>
        <n v="75000"/>
        <n v="12500"/>
        <n v="28000"/>
        <n v="5500"/>
        <n v="45000"/>
        <n v="35000"/>
        <n v="3500"/>
        <n v="12000"/>
        <n v="7800"/>
        <n v="22000"/>
        <n v="4200"/>
        <n v="30000"/>
        <n v="9200"/>
        <n v="60000"/>
        <n v="1800"/>
        <n v="11500"/>
        <n v="6200"/>
        <n v="15000"/>
        <n v="6500"/>
        <n v="8800"/>
        <n v="42000"/>
        <n v="4500"/>
        <n v="65000"/>
        <n v="68000"/>
        <n v="2500"/>
        <n v="13500"/>
        <n v="32000"/>
        <n v="24000"/>
        <n v="5000"/>
        <n v="38000"/>
        <n v="7200"/>
        <n v="85000"/>
        <n v="5800"/>
        <n v="20000"/>
        <n v="8200"/>
        <n v="48000"/>
        <n v="6800"/>
        <n v="2200"/>
        <n v="16000"/>
        <n v="10200"/>
        <n v="55000"/>
        <n v="7500"/>
        <n v="6000"/>
        <n v="62000"/>
        <n v="72000"/>
        <n v="14000"/>
        <n v="8000"/>
        <n v="9500"/>
        <n v="36000"/>
        <n v="70000"/>
        <n v="11000"/>
        <n v="40000"/>
        <n v="58000"/>
        <n v="34000"/>
        <n v="26000"/>
        <n v="44000"/>
        <n v="9800"/>
        <n v="52000"/>
        <n v="17000"/>
        <n v="78000"/>
      </sharedItems>
    </cacheField>
    <cacheField name="lockers" numFmtId="0">
      <sharedItems containsSemiMixedTypes="0" containsString="0" containsNumber="1" containsInteger="1" minValue="0" maxValue="2" count="3">
        <n v="1"/>
        <n v="0"/>
        <n v="2"/>
      </sharedItems>
    </cacheField>
    <cacheField name="active_lockers" numFmtId="0">
      <sharedItems containsSemiMixedTypes="0" containsString="0" containsNumber="1" containsInteger="1" minValue="0" maxValue="2" count="3">
        <n v="1"/>
        <n v="0"/>
        <n v="2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29.5333449074" refreshedBy="kumku" recordCount="12">
  <cacheSource type="worksheet">
    <worksheetSource name="Table1" r:id="rId2"/>
  </cacheSource>
  <cacheFields count="6">
    <cacheField name="type_name" numFmtId="0">
      <sharedItems count="12">
        <s v="Home Loan"/>
        <s v="Car Loan"/>
        <s v="Personal Loan"/>
        <s v="Business Loan"/>
        <s v="Education Loan"/>
        <s v="Two Wheeler Loan"/>
        <s v="Loan Against Property"/>
        <s v="Agriculture Loan"/>
        <s v="Consumer Durable Loan"/>
        <s v="Mudra Loan"/>
        <s v="MSME Loan"/>
        <s v="Gold Loan"/>
      </sharedItems>
    </cacheField>
    <cacheField name="TotalLoans" numFmtId="0">
      <sharedItems containsSemiMixedTypes="0" containsString="0" containsNumber="1" containsInteger="1" minValue="0" maxValue="27" count="9">
        <n v="19"/>
        <n v="11"/>
        <n v="27"/>
        <n v="5"/>
        <n v="3"/>
        <n v="10"/>
        <n v="4"/>
        <n v="8"/>
        <n v="2"/>
      </sharedItems>
    </cacheField>
    <cacheField name="PrincipalAmount" numFmtId="0">
      <sharedItems containsSemiMixedTypes="0" containsString="0" containsNumber="1" containsInteger="1" minValue="0" maxValue="122900000" count="12">
        <n v="122900000"/>
        <n v="12330000"/>
        <n v="11150000"/>
        <n v="13700000"/>
        <n v="4150000"/>
        <n v="728000"/>
        <n v="13000000"/>
        <n v="3400000"/>
        <n v="377000"/>
        <n v="1300000"/>
        <n v="1950000"/>
        <n v="1230000"/>
      </sharedItems>
    </cacheField>
    <cacheField name="OutstandingAmount" numFmtId="0">
      <sharedItems containsSemiMixedTypes="0" containsString="0" containsNumber="1" containsInteger="1" minValue="0" maxValue="97401667" count="12">
        <n v="97401667"/>
        <n v="7651167"/>
        <n v="9126862"/>
        <n v="8815953"/>
        <n v="2713750"/>
        <n v="662334"/>
        <n v="10135000"/>
        <n v="2070476"/>
        <n v="337278"/>
        <n v="1273334"/>
        <n v="1635714"/>
        <n v="1194416"/>
      </sharedItems>
    </cacheField>
    <cacheField name="AvgInterest" numFmtId="0">
      <sharedItems containsSemiMixedTypes="0" containsString="0" containsNumber="1" minValue="0" maxValue="15" count="12">
        <n v="8.418421"/>
        <n v="9.327273"/>
        <n v="11.574074"/>
        <n v="12.03"/>
        <n v="8.15"/>
        <n v="14"/>
        <n v="9.5375"/>
        <n v="7.033333"/>
        <n v="15"/>
        <n v="8"/>
        <n v="9.775"/>
        <n v="7.5"/>
      </sharedItems>
    </cacheField>
    <cacheField name="AvgEMI" numFmtId="0">
      <sharedItems containsSemiMixedTypes="0" containsString="0" containsNumber="1" minValue="0" maxValue="52824.894737" count="12">
        <n v="52824.894737"/>
        <n v="21533.818182"/>
        <n v="13321.259259"/>
        <n v="44727"/>
        <n v="16877"/>
        <n v="2487.7"/>
        <n v="34806.5"/>
        <n v="18843.333333"/>
        <n v="3465.625"/>
        <n v="9269"/>
        <n v="14881"/>
        <n v="10499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29.5524421296" refreshedBy="kumku" recordCount="122">
  <cacheSource type="worksheet">
    <worksheetSource ref="A1:V1048576" sheet="SBI_REPORT" r:id="rId2"/>
  </cacheSource>
  <cacheFields count="22">
    <cacheField name="branch_id" numFmtId="0">
      <sharedItems containsBlank="1" containsNumber="1" containsInteger="1" containsMixedTypes="1" count="12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s v="Total"/>
        <m/>
      </sharedItems>
    </cacheField>
    <cacheField name="branch_name" numFmtId="0">
      <sharedItems containsBlank="1" count="121">
        <s v="SBI Main Branch Mumbai"/>
        <s v="SBI Fort Branch"/>
        <s v="SBI Andheri Branch"/>
        <s v="SBI Bandra Branch"/>
        <s v="SBI Pune Camp Branch"/>
        <s v="SBI Shivajinagar Pune"/>
        <s v="SBI Nagpur Main"/>
        <s v="SBI Connaught Place Delhi"/>
        <s v="SBI Karol Bagh Delhi"/>
        <s v="SBI Dwarka Delhi"/>
        <s v="SBI MG Road Bengaluru"/>
        <s v="SBI Koramangala"/>
        <s v="SBI Whitefield"/>
        <s v="SBI Chennai Main"/>
        <s v="SBI T Nagar Chennai"/>
        <s v="SBI Ahmedabad Main"/>
        <s v="SBI CG Road Ahmedabad"/>
        <s v="SBI Surat Main"/>
        <s v="SBI Kolkata Main"/>
        <s v="SBI Salt Lake Kolkata"/>
        <s v="SBI Lucknow Main"/>
        <s v="SBI Gomti Nagar"/>
        <s v="SBI Jaipur Main"/>
        <s v="SBI Vaishali Nagar Jaipur"/>
        <s v="SBI Bhopal Main"/>
        <s v="SBI Hyderabad Main"/>
        <s v="SBI Banjara Hills"/>
        <s v="SBI HITEC City"/>
        <s v="SBI Thiruvananthapuram"/>
        <s v="SBI Kochi Main"/>
        <s v="SBI Chandigarh Main"/>
        <s v="SBI Gurugram Cyber City"/>
        <s v="SBI Patna Main"/>
        <s v="SBI Bhubaneswar Main"/>
        <s v="SBI Guwahati Main"/>
        <s v="SBI Ranchi Main"/>
        <s v="SBI Dehradun Main"/>
        <s v="SBI Nashik Main"/>
        <s v="SBI Mysuru Main"/>
        <s v="SBI Coimbatore Main"/>
        <s v="SBI Vadodara Main"/>
        <s v="SBI Ludhiana Main"/>
        <s v="SBI Amritsar Main"/>
        <s v="SBI Visakhapatnam"/>
        <s v="SBI Indore Main"/>
        <s v="SBI Raipur Main"/>
        <s v="SBI Thane Main"/>
        <s v="SBI Noida Sector 18"/>
        <s v="SBI Ghaziabad Main"/>
        <s v="SBI Navi Mumbai Vashi"/>
        <s v="SBI Powai Mumbai"/>
        <s v="SBI Borivali Mumbai"/>
        <s v="SBI Malad Mumbai"/>
        <s v="SBI Hinjewadi Pune"/>
        <s v="SBI Kothrud Pune"/>
        <s v="SBI Electronic City"/>
        <s v="SBI HSR Layout"/>
        <s v="SBI Marathahalli"/>
        <s v="SBI Velachery Chennai"/>
        <s v="SBI OMR Chennai"/>
        <s v="SBI Prahlad Nagar"/>
        <s v="SBI Satellite Ahmedabad"/>
        <s v="SBI Park Street Kolkata"/>
        <s v="SBI New Town Kolkata"/>
        <s v="SBI Saket Delhi"/>
        <s v="SBI Rohini Delhi"/>
        <s v="SBI Madhapur Hyderabad"/>
        <s v="SBI Gachibowli"/>
        <s v="SBI Varanasi Main"/>
        <s v="SBI Agra Main"/>
        <s v="SBI Kanpur Main"/>
        <s v="SBI Prayagraj Main"/>
        <s v="SBI Jodhpur Main"/>
        <s v="SBI Udaipur Main"/>
        <s v="SBI Kota Main"/>
        <s v="SBI Jabalpur Main"/>
        <s v="SBI Gwalior Main"/>
        <s v="SBI Hubli Main"/>
        <s v="SBI Mangaluru Main"/>
        <s v="SBI Madurai Main"/>
        <s v="SBI Salem Main"/>
        <s v="SBI Rajkot Main"/>
        <s v="SBI Jamnagar Main"/>
        <s v="SBI Siliguri Main"/>
        <s v="SBI Howrah Main"/>
        <s v="SBI Durgapur Main"/>
        <s v="SBI Jalandhar Main"/>
        <s v="SBI Patiala Main"/>
        <s v="SBI Dhanbad Main"/>
        <s v="SBI Jamshedpur Main"/>
        <s v="SBI Kozhikode Main"/>
        <s v="SBI Thrissur Main"/>
        <s v="SBI Srinagar Main"/>
        <s v="SBI Jammu Main"/>
        <s v="SBI Panaji Main"/>
        <s v="SBI Shimla Main"/>
        <s v="SBI Haridwar Main"/>
        <s v="SBI Rishikesh"/>
        <s v="SBI Imphal Main"/>
        <s v="SBI Shillong Main"/>
        <s v="SBI Agartala Main"/>
        <s v="SBI Aizawl Main"/>
        <s v="SBI Kohima Main"/>
        <s v="SBI Itanagar Main"/>
        <s v="SBI Gangtok Main"/>
        <s v="SBI Dibrugarh Main"/>
        <s v="SBI Silchar Main"/>
        <s v="SBI Lower Parel Mumbai"/>
        <s v="SBI BKC Mumbai"/>
        <s v="SBI Worli Mumbai"/>
        <s v="SBI Churchgate Mumbai"/>
        <s v="SBI Dadar Mumbai"/>
        <s v="SBI Vikhroli Mumbai"/>
        <s v="SBI Chembur Mumbai"/>
        <s v="SBI Mulund Mumbai"/>
        <s v="SBI Kandivali Mumbai"/>
        <s v="SBI Goregaon Mumbai"/>
        <s v="SBI Versova Mumbai"/>
        <s v="SBI Santacruz Mumbai"/>
        <s v="SBI Juhu Mumbai"/>
        <m/>
      </sharedItems>
    </cacheField>
    <cacheField name="city_name" numFmtId="0">
      <sharedItems containsBlank="1" count="73">
        <s v="Mumbai"/>
        <s v="Pune"/>
        <s v="Nagpur"/>
        <s v="New Delhi"/>
        <s v="Bengaluru"/>
        <s v="Chennai"/>
        <s v="Ahmedabad"/>
        <s v="Surat"/>
        <s v="Kolkata"/>
        <s v="Lucknow"/>
        <s v="Jaipur"/>
        <s v="Bhopal"/>
        <s v="Hyderabad"/>
        <s v="Thiruvananthapuram"/>
        <s v="Kochi"/>
        <s v="Chandigarh"/>
        <s v="Gurugram"/>
        <s v="Patna"/>
        <s v="Bhubaneswar"/>
        <s v="Guwahati"/>
        <s v="Ranchi"/>
        <s v="Dehradun"/>
        <s v="Nashik"/>
        <s v="Mysuru"/>
        <s v="Coimbatore"/>
        <s v="Vadodara"/>
        <s v="Ludhiana"/>
        <s v="Amritsar"/>
        <s v="Visakhapatnam"/>
        <s v="Indore"/>
        <s v="Raipur"/>
        <s v="Thane"/>
        <s v="Noida"/>
        <s v="Ghaziabad"/>
        <s v="Navi Mumbai"/>
        <s v="Varanasi"/>
        <s v="Agra"/>
        <s v="Kanpur"/>
        <s v="Prayagraj"/>
        <s v="Jodhpur"/>
        <s v="Udaipur"/>
        <s v="Kota"/>
        <s v="Jabalpur"/>
        <s v="Gwalior"/>
        <s v="Hubli"/>
        <s v="Mangaluru"/>
        <s v="Madurai"/>
        <s v="Salem"/>
        <s v="Rajkot"/>
        <s v="Jamnagar"/>
        <s v="Siliguri"/>
        <s v="Howrah"/>
        <s v="Durgapur"/>
        <s v="Jalandhar"/>
        <s v="Patiala"/>
        <s v="Dhanbad"/>
        <s v="Jamshedpur"/>
        <s v="Kozhikode"/>
        <s v="Thrissur"/>
        <s v="Srinagar"/>
        <s v="Panaji"/>
        <s v="Shimla"/>
        <s v="Haridwar"/>
        <s v="Imphal"/>
        <s v="Shillong"/>
        <s v="Agartala"/>
        <s v="Aizawl"/>
        <s v="Kohima"/>
        <s v="Itanagar"/>
        <s v="Gangtok"/>
        <s v="Dibrugarh"/>
        <s v="Silchar"/>
        <m/>
      </sharedItems>
    </cacheField>
    <cacheField name="state_name" numFmtId="0">
      <sharedItems containsBlank="1" count="31">
        <s v="Maharashtra"/>
        <s v="Delhi"/>
        <s v="Karnataka"/>
        <s v="Tamil Nadu"/>
        <s v="Gujarat"/>
        <s v="West Bengal"/>
        <s v="Uttar Pradesh"/>
        <s v="Rajasthan"/>
        <s v="Madhya Pradesh"/>
        <s v="Telangana"/>
        <s v="Kerala"/>
        <s v="Haryana"/>
        <s v="Bihar"/>
        <s v="Odisha"/>
        <s v="Assam"/>
        <s v="Jharkhand"/>
        <s v="Uttarakhand"/>
        <s v="Punjab"/>
        <s v="Andhra Pradesh"/>
        <s v="Chhattisgarh"/>
        <s v="Jammu and Kashmir"/>
        <s v="Goa"/>
        <s v="Himachal Pradesh"/>
        <s v="Manipur"/>
        <s v="Meghalaya"/>
        <s v="Tripura"/>
        <s v="Mizoram"/>
        <s v="Nagaland"/>
        <s v="Arunachal Pradesh"/>
        <s v="Sikkim"/>
        <m/>
      </sharedItems>
    </cacheField>
    <cacheField name="region_name" numFmtId="0">
      <sharedItems containsBlank="1" count="7">
        <s v="Western Region"/>
        <s v="Northern Region"/>
        <s v="Southern Region"/>
        <s v="Eastern Region"/>
        <s v="Central Region"/>
        <s v="North-Eastern Region"/>
        <m/>
      </sharedItems>
    </cacheField>
    <cacheField name="total_customers" numFmtId="0">
      <sharedItems containsString="0" containsBlank="1" containsNumber="1" containsInteger="1" minValue="0" maxValue="4" count="6">
        <n v="1"/>
        <n v="0"/>
        <n v="2"/>
        <n v="4"/>
        <n v="3"/>
        <m/>
      </sharedItems>
    </cacheField>
    <cacheField name="total_accounts" numFmtId="0">
      <sharedItems containsString="0" containsBlank="1" containsNumber="1" containsInteger="1" minValue="0" maxValue="2" count="4">
        <n v="2"/>
        <n v="0"/>
        <n v="1"/>
        <m/>
      </sharedItems>
    </cacheField>
    <cacheField name="total_deposits" numFmtId="0">
      <sharedItems containsString="0" containsBlank="1" containsNumber="1" minValue="0" maxValue="9000000" count="113">
        <n v="1535000.5"/>
        <n v="0"/>
        <n v="95500"/>
        <n v="142500.75"/>
        <n v="3370000"/>
        <n v="1925000"/>
        <n v="500000"/>
        <n v="52500"/>
        <n v="245000"/>
        <n v="78500.25"/>
        <n v="118000"/>
        <n v="268000"/>
        <n v="45200.5"/>
        <n v="72500"/>
        <n v="28750"/>
        <n v="585000"/>
        <n v="108000"/>
        <n v="5750000"/>
        <n v="425000"/>
        <n v="95000"/>
        <n v="38500"/>
        <n v="317000.5"/>
        <n v="1685000"/>
        <n v="165000"/>
        <n v="62000"/>
        <n v="98500"/>
        <n v="235000"/>
        <n v="8300000"/>
        <n v="680000"/>
        <n v="125000"/>
        <n v="188000"/>
        <n v="35000"/>
        <n v="158000"/>
        <n v="975000"/>
        <n v="18000"/>
        <n v="478000"/>
        <n v="72000"/>
        <n v="5700000"/>
        <n v="15000"/>
        <n v="195000"/>
        <n v="88000"/>
        <n v="2710000"/>
        <n v="135000"/>
        <n v="223000"/>
        <n v="210000"/>
        <n v="52000"/>
        <n v="38000"/>
        <n v="485000"/>
        <n v="25000"/>
        <n v="168000"/>
        <n v="9000000"/>
        <n v="42000"/>
        <n v="115000"/>
        <n v="490000"/>
        <n v="68000"/>
        <n v="185000"/>
        <n v="32000"/>
        <n v="19500"/>
        <n v="4650000"/>
        <n v="82000"/>
        <n v="58000"/>
        <n v="323000"/>
        <n v="45000"/>
        <n v="380000"/>
        <n v="28000"/>
        <n v="295000"/>
        <n v="105000"/>
        <n v="430000"/>
        <n v="75000"/>
        <n v="2470000"/>
        <n v="35500"/>
        <n v="148000"/>
        <n v="55000"/>
        <n v="413000"/>
        <n v="92000"/>
        <n v="5930000"/>
        <n v="48000"/>
        <n v="335000"/>
        <n v="21000"/>
        <n v="178000"/>
        <n v="2450000"/>
        <n v="128000"/>
        <n v="647000"/>
        <n v="16500"/>
        <n v="1320000"/>
        <n v="85000"/>
        <n v="255000"/>
        <n v="62500"/>
        <n v="370000"/>
        <n v="112000"/>
        <n v="475000"/>
        <n v="32500"/>
        <n v="55500"/>
        <n v="305000"/>
        <n v="78500"/>
        <n v="24000"/>
        <n v="1580000"/>
        <n v="42500"/>
        <n v="450500"/>
        <n v="138000"/>
        <n v="285500"/>
        <n v="102000"/>
        <n v="545000"/>
        <n v="58500"/>
        <n v="218000"/>
        <n v="398000"/>
        <n v="125500"/>
        <n v="275500"/>
        <n v="68500"/>
        <n v="485500"/>
        <n v="28500"/>
        <n v="175500"/>
        <m/>
      </sharedItems>
    </cacheField>
    <cacheField name="total_loans" numFmtId="0">
      <sharedItems containsString="0" containsBlank="1" containsNumber="1" containsInteger="1" minValue="0" maxValue="1" count="3">
        <n v="1"/>
        <n v="0"/>
        <m/>
      </sharedItems>
    </cacheField>
    <cacheField name="total_loan_amount" numFmtId="0">
      <sharedItems containsString="0" containsBlank="1" containsNumber="1" containsInteger="1" minValue="0" maxValue="12000000" count="81">
        <n v="4500000"/>
        <n v="0"/>
        <n v="300000"/>
        <n v="850000"/>
        <n v="500000"/>
        <n v="68000"/>
        <n v="420000"/>
        <n v="45000"/>
        <n v="2500000"/>
        <n v="280000"/>
        <n v="1200000"/>
        <n v="72000"/>
        <n v="8500000"/>
        <n v="6500000"/>
        <n v="380000"/>
        <n v="75000"/>
        <n v="55000"/>
        <n v="220000"/>
        <n v="350000"/>
        <n v="65000"/>
        <n v="5200000"/>
        <n v="3500000"/>
        <n v="750000"/>
        <n v="800000"/>
        <n v="600000"/>
        <n v="950000"/>
        <n v="450000"/>
        <n v="7200000"/>
        <n v="38000"/>
        <n v="1800000"/>
        <n v="12000000"/>
        <n v="2000000"/>
        <n v="520000"/>
        <n v="920000"/>
        <n v="3800000"/>
        <n v="340000"/>
        <n v="1100000"/>
        <n v="62000"/>
        <n v="9500000"/>
        <n v="480000"/>
        <n v="4200000"/>
        <n v="78000"/>
        <n v="260000"/>
        <n v="3200000"/>
        <n v="42000"/>
        <n v="5800000"/>
        <n v="250000"/>
        <n v="1350000"/>
        <n v="180000"/>
        <n v="1500000"/>
        <n v="320000"/>
        <n v="400000"/>
        <n v="200000"/>
        <n v="7500000"/>
        <n v="360000"/>
        <n v="2800000"/>
        <n v="48000"/>
        <n v="980000"/>
        <n v="8200000"/>
        <n v="550000"/>
        <n v="58000"/>
        <n v="4000000"/>
        <n v="290000"/>
        <n v="6800000"/>
        <n v="880000"/>
        <n v="410000"/>
        <n v="1450000"/>
        <n v="82000"/>
        <n v="620000"/>
        <n v="240000"/>
        <n v="52000"/>
        <n v="85000"/>
        <n v="9800000"/>
        <n v="2200000"/>
        <n v="5500000"/>
        <n v="1050000"/>
        <n v="1600000"/>
        <n v="70000"/>
        <n v="35000"/>
        <n v="6200000"/>
        <m/>
      </sharedItems>
    </cacheField>
    <cacheField name="outstanding_loan_amount" numFmtId="0">
      <sharedItems containsString="0" containsBlank="1" containsNumber="1" containsInteger="1" minValue="0" maxValue="8400000" count="99">
        <n v="3850000"/>
        <n v="0"/>
        <n v="262500"/>
        <n v="425000"/>
        <n v="312500"/>
        <n v="62333"/>
        <n v="385000"/>
        <n v="35000"/>
        <n v="1575000"/>
        <n v="256667"/>
        <n v="720000"/>
        <n v="68000"/>
        <n v="6800000"/>
        <n v="5720000"/>
        <n v="355556"/>
        <n v="45000"/>
        <n v="48889"/>
        <n v="680000"/>
        <n v="211667"/>
        <n v="245000"/>
        <n v="63056"/>
        <n v="4160000"/>
        <n v="491667"/>
        <n v="2800000"/>
        <n v="660714"/>
        <n v="480000"/>
        <n v="335417"/>
        <n v="412500"/>
        <n v="975000"/>
        <n v="475000"/>
        <n v="446250"/>
        <n v="6120000"/>
        <n v="25333"/>
        <n v="1080000"/>
        <n v="8400000"/>
        <n v="1400000"/>
        <n v="390000"/>
        <n v="337500"/>
        <n v="598000"/>
        <n v="3040000"/>
        <n v="321111"/>
        <n v="715000"/>
        <n v="58556"/>
        <n v="7600000"/>
        <n v="370000"/>
        <n v="3360000"/>
        <n v="74917"/>
        <n v="468750"/>
        <n v="260000"/>
        <n v="2080000"/>
        <n v="38500"/>
        <n v="4640000"/>
        <n v="239583"/>
        <n v="810000"/>
        <n v="175000"/>
        <n v="857143"/>
        <n v="309333"/>
        <n v="311111"/>
        <n v="195833"/>
        <n v="274667"/>
        <n v="5625000"/>
        <n v="350000"/>
        <n v="2100000"/>
        <n v="44000"/>
        <n v="588000"/>
        <n v="6150000"/>
        <n v="56611"/>
        <n v="2666667"/>
        <n v="289583"/>
        <n v="5780000"/>
        <n v="616000"/>
        <n v="593750"/>
        <n v="398611"/>
        <n v="3600000"/>
        <n v="315556"/>
        <n v="942500"/>
        <n v="80056"/>
        <n v="449500"/>
        <n v="240000"/>
        <n v="2560000"/>
        <n v="52000"/>
        <n v="70833"/>
        <n v="6860000"/>
        <n v="1414286"/>
        <n v="380000"/>
        <n v="4400000"/>
        <n v="735000"/>
        <n v="1066667"/>
        <n v="356250"/>
        <n v="360000"/>
        <n v="68611"/>
        <n v="3466667"/>
        <n v="1875000"/>
        <n v="422500"/>
        <n v="733333"/>
        <n v="72917"/>
        <n v="5270000"/>
        <n v="280000"/>
        <m/>
      </sharedItems>
    </cacheField>
    <cacheField name="total_fixed_deposits" numFmtId="0">
      <sharedItems containsString="0" containsBlank="1" containsNumber="1" containsInteger="1" minValue="0" maxValue="1" count="3">
        <n v="1"/>
        <n v="0"/>
        <m/>
      </sharedItems>
    </cacheField>
    <cacheField name="fd_amount" numFmtId="0">
      <sharedItems containsString="0" containsBlank="1" containsNumber="1" containsInteger="1" minValue="0" maxValue="5000000" count="66">
        <n v="500000"/>
        <n v="0"/>
        <n v="180000"/>
        <n v="1000000"/>
        <n v="250000"/>
        <n v="350000"/>
        <n v="120000"/>
        <n v="200000"/>
        <n v="5000000"/>
        <n v="280000"/>
        <n v="150000"/>
        <n v="3000000"/>
        <n v="2000000"/>
        <n v="420000"/>
        <n v="95000"/>
        <n v="800000"/>
        <n v="450000"/>
        <n v="1500000"/>
        <n v="100000"/>
        <n v="600000"/>
        <n v="320000"/>
        <n v="900000"/>
        <n v="580000"/>
        <n v="750000"/>
        <n v="1200000"/>
        <n v="135000"/>
        <n v="400000"/>
        <n v="3500000"/>
        <n v="550000"/>
        <n v="300000"/>
        <n v="850000"/>
        <n v="1800000"/>
        <n v="110000"/>
        <n v="2500000"/>
        <n v="700000"/>
        <n v="220000"/>
        <n v="480000"/>
        <n v="1100000"/>
        <n v="185000"/>
        <n v="650000"/>
        <n v="950000"/>
        <n v="1350000"/>
        <n v="195000"/>
        <n v="520000"/>
        <n v="4000000"/>
        <n v="175000"/>
        <n v="130000"/>
        <n v="4200000"/>
        <n v="210000"/>
        <n v="1600000"/>
        <n v="145000"/>
        <n v="2200000"/>
        <n v="380000"/>
        <n v="265000"/>
        <n v="890000"/>
        <n v="1450000"/>
        <n v="295000"/>
        <n v="680000"/>
        <n v="240000"/>
        <n v="3800000"/>
        <n v="1750000"/>
        <n v="165000"/>
        <n v="820000"/>
        <n v="385000"/>
        <n v="1380000"/>
        <m/>
      </sharedItems>
    </cacheField>
    <cacheField name="maturity_amount" numFmtId="0">
      <sharedItems containsString="0" containsBlank="1" containsNumber="1" containsInteger="1" minValue="0" maxValue="7136719" count="81">
        <n v="532500"/>
        <n v="0"/>
        <n v="191250"/>
        <n v="1143563"/>
        <n v="257813"/>
        <n v="372750"/>
        <n v="123750"/>
        <n v="213000"/>
        <n v="7136719"/>
        <n v="307699"/>
        <n v="159375"/>
        <n v="4326019"/>
        <n v="2450086"/>
        <n v="447300"/>
        <n v="97850"/>
        <n v="912460"/>
        <n v="494663"/>
        <n v="266250"/>
        <n v="1837628"/>
        <n v="103000"/>
        <n v="639000"/>
        <n v="351680"/>
        <n v="1026209"/>
        <n v="479250"/>
        <n v="206250"/>
        <n v="661481"/>
        <n v="798750"/>
        <n v="212500"/>
        <n v="1470102"/>
        <n v="139050"/>
        <n v="439627"/>
        <n v="5046022"/>
        <n v="627314"/>
        <n v="298200"/>
        <n v="318750"/>
        <n v="461580"/>
        <n v="905250"/>
        <n v="2359800"/>
        <n v="113300"/>
        <n v="3568359"/>
        <n v="745500"/>
        <n v="233750"/>
        <n v="547478"/>
        <n v="1347761"/>
        <n v="190550"/>
        <n v="714456"/>
        <n v="1083391"/>
        <n v="1654003"/>
        <n v="207188"/>
        <n v="297500"/>
        <n v="340800"/>
        <n v="553800"/>
        <n v="274813"/>
        <n v="5768025"/>
        <n v="185938"/>
        <n v="824438"/>
        <n v="133900"/>
        <n v="6055227"/>
        <n v="223125"/>
        <n v="1960136"/>
        <n v="149350"/>
        <n v="2914080"/>
        <n v="417646"/>
        <n v="403750"/>
        <n v="282225"/>
        <n v="978302"/>
        <n v="1776573"/>
        <n v="324225"/>
        <n v="775602"/>
        <n v="255000"/>
        <n v="5478623"/>
        <n v="1044094"/>
        <n v="2144003"/>
        <n v="384738"/>
        <n v="617700"/>
        <n v="1572480"/>
        <n v="175313"/>
        <n v="935273"/>
        <n v="423178"/>
        <n v="1690766"/>
        <m/>
      </sharedItems>
    </cacheField>
    <cacheField name="total_credit_cards" numFmtId="0">
      <sharedItems containsString="0" containsBlank="1" containsNumber="1" containsInteger="1" minValue="0" maxValue="1" count="3">
        <n v="1"/>
        <n v="0"/>
        <m/>
      </sharedItems>
    </cacheField>
    <cacheField name="total_credit_limit" numFmtId="0">
      <sharedItems containsString="0" containsBlank="1" containsNumber="1" containsInteger="1" minValue="0" maxValue="2000000" count="67">
        <n v="500000"/>
        <n v="0"/>
        <n v="65000"/>
        <n v="300000"/>
        <n v="150000"/>
        <n v="45000"/>
        <n v="40000"/>
        <n v="55000"/>
        <n v="1500000"/>
        <n v="48000"/>
        <n v="100000"/>
        <n v="70000"/>
        <n v="2000000"/>
        <n v="750000"/>
        <n v="52000"/>
        <n v="75000"/>
        <n v="50000"/>
        <n v="200000"/>
        <n v="38000"/>
        <n v="350000"/>
        <n v="62000"/>
        <n v="600000"/>
        <n v="42000"/>
        <n v="120000"/>
        <n v="250000"/>
        <n v="95000"/>
        <n v="108000"/>
        <n v="80000"/>
        <n v="58000"/>
        <n v="450000"/>
        <n v="35000"/>
        <n v="280000"/>
        <n v="1650000"/>
        <n v="110000"/>
        <n v="220000"/>
        <n v="98000"/>
        <n v="130000"/>
        <n v="520000"/>
        <n v="1200000"/>
        <n v="88000"/>
        <n v="380000"/>
        <n v="195000"/>
        <n v="82000"/>
        <n v="140000"/>
        <n v="92000"/>
        <n v="680000"/>
        <n v="60000"/>
        <n v="90000"/>
        <n v="125000"/>
        <n v="85000"/>
        <n v="1800000"/>
        <n v="240000"/>
        <n v="115000"/>
        <n v="1750000"/>
        <n v="420000"/>
        <n v="550000"/>
        <n v="260000"/>
        <n v="480000"/>
        <n v="105000"/>
        <n v="210000"/>
        <n v="1550000"/>
        <n v="185000"/>
        <n v="620000"/>
        <n v="275000"/>
        <n v="78000"/>
        <n v="400000"/>
        <m/>
      </sharedItems>
    </cacheField>
    <cacheField name="utilized_credit" numFmtId="0">
      <sharedItems containsString="0" containsBlank="1" containsNumber="1" containsInteger="1" minValue="0" maxValue="180000" count="34">
        <n v="75000"/>
        <n v="0"/>
        <n v="13000"/>
        <n v="35000"/>
        <n v="22000"/>
        <n v="7000"/>
        <n v="8000"/>
        <n v="10000"/>
        <n v="150000"/>
        <n v="15000"/>
        <n v="12000"/>
        <n v="180000"/>
        <n v="70000"/>
        <n v="25000"/>
        <n v="40000"/>
        <n v="55000"/>
        <n v="32000"/>
        <n v="17000"/>
        <n v="18000"/>
        <n v="52000"/>
        <n v="130000"/>
        <n v="28000"/>
        <n v="16000"/>
        <n v="115000"/>
        <n v="38000"/>
        <n v="45000"/>
        <n v="27000"/>
        <n v="14000"/>
        <n v="65000"/>
        <n v="20000"/>
        <n v="58000"/>
        <n v="125000"/>
        <n v="37000"/>
        <m/>
      </sharedItems>
    </cacheField>
    <cacheField name="utilization_percent" numFmtId="0">
      <sharedItems containsBlank="1" containsNumber="1" containsMixedTypes="1" count="56">
        <n v="15"/>
        <s v="NULL"/>
        <n v="20"/>
        <n v="11.67"/>
        <n v="14.67"/>
        <n v="15.56"/>
        <n v="18.18"/>
        <n v="10"/>
        <n v="16.67"/>
        <n v="17.14"/>
        <n v="9"/>
        <n v="9.33"/>
        <n v="19.23"/>
        <n v="17.33"/>
        <n v="16"/>
        <n v="12.5"/>
        <n v="21.05"/>
        <n v="11.43"/>
        <n v="16.13"/>
        <n v="9.17"/>
        <n v="18.33"/>
        <n v="12.8"/>
        <n v="17.89"/>
        <n v="18"/>
        <n v="18.75"/>
        <n v="17.24"/>
        <n v="11.56"/>
        <n v="7.88"/>
        <n v="16.36"/>
        <n v="12.73"/>
        <n v="16.33"/>
        <n v="16.92"/>
        <n v="9.58"/>
        <n v="13.57"/>
        <n v="11.84"/>
        <n v="13.85"/>
        <n v="17.07"/>
        <n v="15.71"/>
        <n v="17.39"/>
        <n v="9.56"/>
        <n v="17.65"/>
        <n v="8.33"/>
        <n v="13.33"/>
        <n v="7.43"/>
        <n v="10.71"/>
        <n v="10.55"/>
        <n v="13.46"/>
        <n v="10.83"/>
        <n v="16.19"/>
        <n v="8.06"/>
        <n v="12.86"/>
        <n v="14.59"/>
        <n v="8.87"/>
        <n v="13.45"/>
        <n v="11.25"/>
        <m/>
      </sharedItems>
    </cacheField>
    <cacheField name="insurance_policies" numFmtId="0">
      <sharedItems containsString="0" containsBlank="1" containsNumber="1" containsInteger="1" minValue="0" maxValue="1" count="3">
        <n v="1"/>
        <n v="0"/>
        <m/>
      </sharedItems>
    </cacheField>
    <cacheField name="insurance_premium" numFmtId="0">
      <sharedItems containsString="0" containsBlank="1" containsNumber="1" containsInteger="1" minValue="0" maxValue="85000" count="69">
        <n v="25000"/>
        <n v="0"/>
        <n v="10500"/>
        <n v="50000"/>
        <n v="18000"/>
        <n v="5200"/>
        <n v="8500"/>
        <n v="4800"/>
        <n v="75000"/>
        <n v="12500"/>
        <n v="28000"/>
        <n v="5500"/>
        <n v="45000"/>
        <n v="35000"/>
        <n v="3500"/>
        <n v="12000"/>
        <n v="7800"/>
        <n v="22000"/>
        <n v="4200"/>
        <n v="30000"/>
        <n v="9200"/>
        <n v="60000"/>
        <n v="1800"/>
        <n v="11500"/>
        <n v="6200"/>
        <n v="15000"/>
        <n v="6500"/>
        <n v="8800"/>
        <n v="42000"/>
        <n v="4500"/>
        <n v="65000"/>
        <n v="68000"/>
        <n v="2500"/>
        <n v="13500"/>
        <n v="32000"/>
        <n v="24000"/>
        <n v="5000"/>
        <n v="38000"/>
        <n v="7200"/>
        <n v="85000"/>
        <n v="5800"/>
        <n v="20000"/>
        <n v="8200"/>
        <n v="48000"/>
        <n v="6800"/>
        <n v="2200"/>
        <n v="16000"/>
        <n v="10200"/>
        <n v="55000"/>
        <n v="7500"/>
        <n v="6000"/>
        <n v="62000"/>
        <n v="72000"/>
        <n v="14000"/>
        <n v="8000"/>
        <n v="9500"/>
        <n v="36000"/>
        <n v="70000"/>
        <n v="11000"/>
        <n v="40000"/>
        <n v="58000"/>
        <n v="34000"/>
        <n v="26000"/>
        <n v="44000"/>
        <n v="9800"/>
        <n v="52000"/>
        <n v="17000"/>
        <n v="78000"/>
        <m/>
      </sharedItems>
    </cacheField>
    <cacheField name="lockers" numFmtId="0">
      <sharedItems containsString="0" containsBlank="1" containsNumber="1" containsInteger="1" minValue="0" maxValue="2" count="4">
        <n v="1"/>
        <n v="0"/>
        <n v="2"/>
        <m/>
      </sharedItems>
    </cacheField>
    <cacheField name="active_lockers" numFmtId="0">
      <sharedItems containsString="0" containsBlank="1" containsNumber="1" containsInteger="1" minValue="0" maxValue="86" count="5">
        <n v="1"/>
        <n v="0"/>
        <n v="2"/>
        <n v="86"/>
        <m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"/>
    <x v="2"/>
    <x v="0"/>
    <x v="0"/>
    <x v="0"/>
    <x v="0"/>
    <x v="2"/>
    <x v="2"/>
    <x v="1"/>
    <x v="1"/>
    <x v="1"/>
    <x v="1"/>
    <x v="1"/>
    <x v="1"/>
    <x v="1"/>
    <x v="1"/>
    <x v="1"/>
    <x v="1"/>
    <x v="1"/>
    <x v="1"/>
    <x v="1"/>
    <x v="1"/>
  </r>
  <r>
    <x v="3"/>
    <x v="3"/>
    <x v="0"/>
    <x v="0"/>
    <x v="0"/>
    <x v="0"/>
    <x v="2"/>
    <x v="3"/>
    <x v="0"/>
    <x v="2"/>
    <x v="2"/>
    <x v="0"/>
    <x v="2"/>
    <x v="2"/>
    <x v="0"/>
    <x v="2"/>
    <x v="2"/>
    <x v="2"/>
    <x v="0"/>
    <x v="2"/>
    <x v="0"/>
    <x v="0"/>
  </r>
  <r>
    <x v="4"/>
    <x v="4"/>
    <x v="1"/>
    <x v="0"/>
    <x v="0"/>
    <x v="2"/>
    <x v="0"/>
    <x v="4"/>
    <x v="0"/>
    <x v="3"/>
    <x v="3"/>
    <x v="0"/>
    <x v="3"/>
    <x v="3"/>
    <x v="0"/>
    <x v="3"/>
    <x v="3"/>
    <x v="3"/>
    <x v="0"/>
    <x v="3"/>
    <x v="2"/>
    <x v="2"/>
  </r>
  <r>
    <x v="5"/>
    <x v="5"/>
    <x v="1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"/>
    <x v="6"/>
    <x v="2"/>
    <x v="0"/>
    <x v="0"/>
    <x v="0"/>
    <x v="2"/>
    <x v="5"/>
    <x v="1"/>
    <x v="1"/>
    <x v="1"/>
    <x v="1"/>
    <x v="1"/>
    <x v="1"/>
    <x v="1"/>
    <x v="1"/>
    <x v="1"/>
    <x v="1"/>
    <x v="1"/>
    <x v="1"/>
    <x v="0"/>
    <x v="0"/>
  </r>
  <r>
    <x v="7"/>
    <x v="7"/>
    <x v="3"/>
    <x v="1"/>
    <x v="1"/>
    <x v="0"/>
    <x v="0"/>
    <x v="6"/>
    <x v="0"/>
    <x v="4"/>
    <x v="4"/>
    <x v="0"/>
    <x v="4"/>
    <x v="4"/>
    <x v="0"/>
    <x v="4"/>
    <x v="4"/>
    <x v="4"/>
    <x v="0"/>
    <x v="4"/>
    <x v="0"/>
    <x v="0"/>
  </r>
  <r>
    <x v="8"/>
    <x v="8"/>
    <x v="3"/>
    <x v="1"/>
    <x v="1"/>
    <x v="0"/>
    <x v="2"/>
    <x v="7"/>
    <x v="1"/>
    <x v="1"/>
    <x v="1"/>
    <x v="1"/>
    <x v="1"/>
    <x v="1"/>
    <x v="1"/>
    <x v="1"/>
    <x v="1"/>
    <x v="1"/>
    <x v="1"/>
    <x v="1"/>
    <x v="1"/>
    <x v="1"/>
  </r>
  <r>
    <x v="9"/>
    <x v="9"/>
    <x v="3"/>
    <x v="1"/>
    <x v="1"/>
    <x v="0"/>
    <x v="2"/>
    <x v="8"/>
    <x v="1"/>
    <x v="1"/>
    <x v="1"/>
    <x v="1"/>
    <x v="1"/>
    <x v="1"/>
    <x v="1"/>
    <x v="1"/>
    <x v="1"/>
    <x v="1"/>
    <x v="1"/>
    <x v="1"/>
    <x v="0"/>
    <x v="0"/>
  </r>
  <r>
    <x v="10"/>
    <x v="10"/>
    <x v="4"/>
    <x v="2"/>
    <x v="2"/>
    <x v="0"/>
    <x v="2"/>
    <x v="9"/>
    <x v="0"/>
    <x v="5"/>
    <x v="5"/>
    <x v="0"/>
    <x v="5"/>
    <x v="5"/>
    <x v="0"/>
    <x v="5"/>
    <x v="5"/>
    <x v="5"/>
    <x v="0"/>
    <x v="5"/>
    <x v="0"/>
    <x v="0"/>
  </r>
  <r>
    <x v="11"/>
    <x v="11"/>
    <x v="4"/>
    <x v="2"/>
    <x v="2"/>
    <x v="0"/>
    <x v="2"/>
    <x v="10"/>
    <x v="1"/>
    <x v="1"/>
    <x v="1"/>
    <x v="1"/>
    <x v="1"/>
    <x v="1"/>
    <x v="1"/>
    <x v="1"/>
    <x v="1"/>
    <x v="1"/>
    <x v="1"/>
    <x v="1"/>
    <x v="1"/>
    <x v="1"/>
  </r>
  <r>
    <x v="12"/>
    <x v="12"/>
    <x v="4"/>
    <x v="2"/>
    <x v="2"/>
    <x v="0"/>
    <x v="2"/>
    <x v="11"/>
    <x v="1"/>
    <x v="1"/>
    <x v="1"/>
    <x v="1"/>
    <x v="1"/>
    <x v="1"/>
    <x v="1"/>
    <x v="1"/>
    <x v="1"/>
    <x v="1"/>
    <x v="1"/>
    <x v="1"/>
    <x v="0"/>
    <x v="0"/>
  </r>
  <r>
    <x v="13"/>
    <x v="13"/>
    <x v="5"/>
    <x v="3"/>
    <x v="2"/>
    <x v="0"/>
    <x v="2"/>
    <x v="12"/>
    <x v="0"/>
    <x v="6"/>
    <x v="6"/>
    <x v="0"/>
    <x v="6"/>
    <x v="6"/>
    <x v="0"/>
    <x v="6"/>
    <x v="6"/>
    <x v="2"/>
    <x v="0"/>
    <x v="6"/>
    <x v="0"/>
    <x v="0"/>
  </r>
  <r>
    <x v="14"/>
    <x v="14"/>
    <x v="5"/>
    <x v="3"/>
    <x v="2"/>
    <x v="0"/>
    <x v="2"/>
    <x v="13"/>
    <x v="1"/>
    <x v="1"/>
    <x v="1"/>
    <x v="1"/>
    <x v="1"/>
    <x v="1"/>
    <x v="1"/>
    <x v="1"/>
    <x v="1"/>
    <x v="1"/>
    <x v="1"/>
    <x v="1"/>
    <x v="1"/>
    <x v="1"/>
  </r>
  <r>
    <x v="15"/>
    <x v="15"/>
    <x v="6"/>
    <x v="4"/>
    <x v="0"/>
    <x v="0"/>
    <x v="2"/>
    <x v="14"/>
    <x v="0"/>
    <x v="7"/>
    <x v="7"/>
    <x v="0"/>
    <x v="7"/>
    <x v="7"/>
    <x v="0"/>
    <x v="7"/>
    <x v="7"/>
    <x v="6"/>
    <x v="0"/>
    <x v="7"/>
    <x v="0"/>
    <x v="0"/>
  </r>
  <r>
    <x v="16"/>
    <x v="16"/>
    <x v="6"/>
    <x v="4"/>
    <x v="0"/>
    <x v="0"/>
    <x v="2"/>
    <x v="15"/>
    <x v="1"/>
    <x v="1"/>
    <x v="1"/>
    <x v="1"/>
    <x v="1"/>
    <x v="1"/>
    <x v="1"/>
    <x v="1"/>
    <x v="1"/>
    <x v="1"/>
    <x v="1"/>
    <x v="1"/>
    <x v="0"/>
    <x v="0"/>
  </r>
  <r>
    <x v="17"/>
    <x v="17"/>
    <x v="7"/>
    <x v="4"/>
    <x v="0"/>
    <x v="0"/>
    <x v="2"/>
    <x v="16"/>
    <x v="1"/>
    <x v="1"/>
    <x v="1"/>
    <x v="1"/>
    <x v="1"/>
    <x v="1"/>
    <x v="1"/>
    <x v="1"/>
    <x v="1"/>
    <x v="1"/>
    <x v="1"/>
    <x v="1"/>
    <x v="1"/>
    <x v="1"/>
  </r>
  <r>
    <x v="18"/>
    <x v="18"/>
    <x v="8"/>
    <x v="5"/>
    <x v="3"/>
    <x v="0"/>
    <x v="0"/>
    <x v="17"/>
    <x v="0"/>
    <x v="8"/>
    <x v="8"/>
    <x v="0"/>
    <x v="8"/>
    <x v="8"/>
    <x v="0"/>
    <x v="8"/>
    <x v="8"/>
    <x v="7"/>
    <x v="0"/>
    <x v="8"/>
    <x v="0"/>
    <x v="0"/>
  </r>
  <r>
    <x v="19"/>
    <x v="19"/>
    <x v="8"/>
    <x v="5"/>
    <x v="3"/>
    <x v="0"/>
    <x v="2"/>
    <x v="18"/>
    <x v="1"/>
    <x v="1"/>
    <x v="1"/>
    <x v="1"/>
    <x v="1"/>
    <x v="1"/>
    <x v="1"/>
    <x v="1"/>
    <x v="1"/>
    <x v="1"/>
    <x v="1"/>
    <x v="1"/>
    <x v="0"/>
    <x v="0"/>
  </r>
  <r>
    <x v="20"/>
    <x v="20"/>
    <x v="9"/>
    <x v="6"/>
    <x v="1"/>
    <x v="0"/>
    <x v="2"/>
    <x v="19"/>
    <x v="0"/>
    <x v="9"/>
    <x v="9"/>
    <x v="0"/>
    <x v="9"/>
    <x v="9"/>
    <x v="0"/>
    <x v="9"/>
    <x v="6"/>
    <x v="8"/>
    <x v="0"/>
    <x v="9"/>
    <x v="0"/>
    <x v="0"/>
  </r>
  <r>
    <x v="21"/>
    <x v="21"/>
    <x v="9"/>
    <x v="6"/>
    <x v="1"/>
    <x v="0"/>
    <x v="2"/>
    <x v="20"/>
    <x v="1"/>
    <x v="1"/>
    <x v="1"/>
    <x v="1"/>
    <x v="1"/>
    <x v="1"/>
    <x v="1"/>
    <x v="1"/>
    <x v="1"/>
    <x v="1"/>
    <x v="1"/>
    <x v="1"/>
    <x v="1"/>
    <x v="1"/>
  </r>
  <r>
    <x v="22"/>
    <x v="22"/>
    <x v="10"/>
    <x v="7"/>
    <x v="1"/>
    <x v="2"/>
    <x v="0"/>
    <x v="21"/>
    <x v="0"/>
    <x v="10"/>
    <x v="10"/>
    <x v="0"/>
    <x v="5"/>
    <x v="5"/>
    <x v="0"/>
    <x v="10"/>
    <x v="9"/>
    <x v="0"/>
    <x v="0"/>
    <x v="10"/>
    <x v="2"/>
    <x v="2"/>
  </r>
  <r>
    <x v="23"/>
    <x v="23"/>
    <x v="10"/>
    <x v="7"/>
    <x v="1"/>
    <x v="0"/>
    <x v="2"/>
    <x v="22"/>
    <x v="1"/>
    <x v="1"/>
    <x v="1"/>
    <x v="1"/>
    <x v="1"/>
    <x v="1"/>
    <x v="1"/>
    <x v="1"/>
    <x v="1"/>
    <x v="1"/>
    <x v="1"/>
    <x v="1"/>
    <x v="0"/>
    <x v="0"/>
  </r>
  <r>
    <x v="24"/>
    <x v="24"/>
    <x v="11"/>
    <x v="8"/>
    <x v="4"/>
    <x v="0"/>
    <x v="2"/>
    <x v="23"/>
    <x v="1"/>
    <x v="1"/>
    <x v="1"/>
    <x v="1"/>
    <x v="1"/>
    <x v="1"/>
    <x v="1"/>
    <x v="1"/>
    <x v="1"/>
    <x v="1"/>
    <x v="1"/>
    <x v="1"/>
    <x v="1"/>
    <x v="1"/>
  </r>
  <r>
    <x v="25"/>
    <x v="25"/>
    <x v="12"/>
    <x v="9"/>
    <x v="2"/>
    <x v="3"/>
    <x v="2"/>
    <x v="24"/>
    <x v="0"/>
    <x v="11"/>
    <x v="11"/>
    <x v="0"/>
    <x v="10"/>
    <x v="10"/>
    <x v="0"/>
    <x v="11"/>
    <x v="10"/>
    <x v="9"/>
    <x v="0"/>
    <x v="11"/>
    <x v="2"/>
    <x v="2"/>
  </r>
  <r>
    <x v="26"/>
    <x v="26"/>
    <x v="12"/>
    <x v="9"/>
    <x v="2"/>
    <x v="0"/>
    <x v="2"/>
    <x v="25"/>
    <x v="1"/>
    <x v="1"/>
    <x v="1"/>
    <x v="1"/>
    <x v="1"/>
    <x v="1"/>
    <x v="1"/>
    <x v="1"/>
    <x v="1"/>
    <x v="1"/>
    <x v="1"/>
    <x v="1"/>
    <x v="0"/>
    <x v="0"/>
  </r>
  <r>
    <x v="27"/>
    <x v="27"/>
    <x v="12"/>
    <x v="9"/>
    <x v="2"/>
    <x v="0"/>
    <x v="2"/>
    <x v="26"/>
    <x v="1"/>
    <x v="1"/>
    <x v="1"/>
    <x v="1"/>
    <x v="1"/>
    <x v="1"/>
    <x v="1"/>
    <x v="1"/>
    <x v="1"/>
    <x v="1"/>
    <x v="1"/>
    <x v="1"/>
    <x v="1"/>
    <x v="1"/>
  </r>
  <r>
    <x v="28"/>
    <x v="28"/>
    <x v="13"/>
    <x v="10"/>
    <x v="2"/>
    <x v="0"/>
    <x v="0"/>
    <x v="27"/>
    <x v="0"/>
    <x v="12"/>
    <x v="12"/>
    <x v="0"/>
    <x v="11"/>
    <x v="11"/>
    <x v="0"/>
    <x v="12"/>
    <x v="11"/>
    <x v="10"/>
    <x v="0"/>
    <x v="12"/>
    <x v="0"/>
    <x v="0"/>
  </r>
  <r>
    <x v="29"/>
    <x v="29"/>
    <x v="14"/>
    <x v="10"/>
    <x v="2"/>
    <x v="2"/>
    <x v="2"/>
    <x v="28"/>
    <x v="0"/>
    <x v="13"/>
    <x v="13"/>
    <x v="0"/>
    <x v="12"/>
    <x v="12"/>
    <x v="0"/>
    <x v="13"/>
    <x v="12"/>
    <x v="11"/>
    <x v="0"/>
    <x v="13"/>
    <x v="2"/>
    <x v="2"/>
  </r>
  <r>
    <x v="30"/>
    <x v="30"/>
    <x v="15"/>
    <x v="11"/>
    <x v="1"/>
    <x v="4"/>
    <x v="2"/>
    <x v="29"/>
    <x v="0"/>
    <x v="14"/>
    <x v="14"/>
    <x v="0"/>
    <x v="13"/>
    <x v="13"/>
    <x v="0"/>
    <x v="14"/>
    <x v="7"/>
    <x v="12"/>
    <x v="0"/>
    <x v="14"/>
    <x v="2"/>
    <x v="2"/>
  </r>
  <r>
    <x v="31"/>
    <x v="31"/>
    <x v="16"/>
    <x v="11"/>
    <x v="1"/>
    <x v="2"/>
    <x v="2"/>
    <x v="30"/>
    <x v="1"/>
    <x v="1"/>
    <x v="1"/>
    <x v="1"/>
    <x v="1"/>
    <x v="1"/>
    <x v="1"/>
    <x v="1"/>
    <x v="1"/>
    <x v="1"/>
    <x v="1"/>
    <x v="1"/>
    <x v="2"/>
    <x v="2"/>
  </r>
  <r>
    <x v="32"/>
    <x v="32"/>
    <x v="17"/>
    <x v="12"/>
    <x v="3"/>
    <x v="4"/>
    <x v="2"/>
    <x v="31"/>
    <x v="0"/>
    <x v="15"/>
    <x v="15"/>
    <x v="0"/>
    <x v="10"/>
    <x v="10"/>
    <x v="0"/>
    <x v="15"/>
    <x v="2"/>
    <x v="13"/>
    <x v="0"/>
    <x v="15"/>
    <x v="2"/>
    <x v="2"/>
  </r>
  <r>
    <x v="33"/>
    <x v="33"/>
    <x v="18"/>
    <x v="13"/>
    <x v="3"/>
    <x v="0"/>
    <x v="0"/>
    <x v="32"/>
    <x v="0"/>
    <x v="16"/>
    <x v="16"/>
    <x v="0"/>
    <x v="14"/>
    <x v="14"/>
    <x v="0"/>
    <x v="16"/>
    <x v="6"/>
    <x v="14"/>
    <x v="0"/>
    <x v="16"/>
    <x v="0"/>
    <x v="0"/>
  </r>
  <r>
    <x v="34"/>
    <x v="34"/>
    <x v="19"/>
    <x v="14"/>
    <x v="5"/>
    <x v="0"/>
    <x v="0"/>
    <x v="33"/>
    <x v="0"/>
    <x v="10"/>
    <x v="17"/>
    <x v="0"/>
    <x v="15"/>
    <x v="15"/>
    <x v="0"/>
    <x v="17"/>
    <x v="13"/>
    <x v="15"/>
    <x v="0"/>
    <x v="17"/>
    <x v="0"/>
    <x v="0"/>
  </r>
  <r>
    <x v="35"/>
    <x v="35"/>
    <x v="20"/>
    <x v="15"/>
    <x v="3"/>
    <x v="2"/>
    <x v="2"/>
    <x v="34"/>
    <x v="0"/>
    <x v="17"/>
    <x v="18"/>
    <x v="0"/>
    <x v="2"/>
    <x v="2"/>
    <x v="0"/>
    <x v="18"/>
    <x v="6"/>
    <x v="16"/>
    <x v="0"/>
    <x v="18"/>
    <x v="0"/>
    <x v="0"/>
  </r>
  <r>
    <x v="36"/>
    <x v="36"/>
    <x v="21"/>
    <x v="16"/>
    <x v="1"/>
    <x v="0"/>
    <x v="0"/>
    <x v="35"/>
    <x v="0"/>
    <x v="18"/>
    <x v="19"/>
    <x v="0"/>
    <x v="16"/>
    <x v="16"/>
    <x v="0"/>
    <x v="19"/>
    <x v="14"/>
    <x v="17"/>
    <x v="0"/>
    <x v="19"/>
    <x v="0"/>
    <x v="0"/>
  </r>
  <r>
    <x v="37"/>
    <x v="37"/>
    <x v="22"/>
    <x v="0"/>
    <x v="0"/>
    <x v="2"/>
    <x v="2"/>
    <x v="36"/>
    <x v="0"/>
    <x v="19"/>
    <x v="20"/>
    <x v="0"/>
    <x v="4"/>
    <x v="17"/>
    <x v="0"/>
    <x v="20"/>
    <x v="7"/>
    <x v="18"/>
    <x v="0"/>
    <x v="20"/>
    <x v="0"/>
    <x v="0"/>
  </r>
  <r>
    <x v="38"/>
    <x v="38"/>
    <x v="23"/>
    <x v="2"/>
    <x v="2"/>
    <x v="0"/>
    <x v="0"/>
    <x v="37"/>
    <x v="0"/>
    <x v="20"/>
    <x v="21"/>
    <x v="0"/>
    <x v="17"/>
    <x v="18"/>
    <x v="0"/>
    <x v="21"/>
    <x v="15"/>
    <x v="19"/>
    <x v="0"/>
    <x v="21"/>
    <x v="0"/>
    <x v="0"/>
  </r>
  <r>
    <x v="39"/>
    <x v="39"/>
    <x v="24"/>
    <x v="3"/>
    <x v="2"/>
    <x v="0"/>
    <x v="2"/>
    <x v="38"/>
    <x v="0"/>
    <x v="4"/>
    <x v="22"/>
    <x v="0"/>
    <x v="18"/>
    <x v="19"/>
    <x v="0"/>
    <x v="22"/>
    <x v="5"/>
    <x v="8"/>
    <x v="0"/>
    <x v="22"/>
    <x v="0"/>
    <x v="0"/>
  </r>
  <r>
    <x v="40"/>
    <x v="40"/>
    <x v="25"/>
    <x v="4"/>
    <x v="0"/>
    <x v="0"/>
    <x v="2"/>
    <x v="39"/>
    <x v="0"/>
    <x v="21"/>
    <x v="23"/>
    <x v="0"/>
    <x v="19"/>
    <x v="20"/>
    <x v="0"/>
    <x v="23"/>
    <x v="4"/>
    <x v="20"/>
    <x v="0"/>
    <x v="6"/>
    <x v="0"/>
    <x v="0"/>
  </r>
  <r>
    <x v="41"/>
    <x v="41"/>
    <x v="26"/>
    <x v="17"/>
    <x v="1"/>
    <x v="0"/>
    <x v="2"/>
    <x v="40"/>
    <x v="0"/>
    <x v="22"/>
    <x v="24"/>
    <x v="0"/>
    <x v="20"/>
    <x v="21"/>
    <x v="0"/>
    <x v="15"/>
    <x v="2"/>
    <x v="13"/>
    <x v="0"/>
    <x v="23"/>
    <x v="1"/>
    <x v="1"/>
  </r>
  <r>
    <x v="42"/>
    <x v="42"/>
    <x v="27"/>
    <x v="17"/>
    <x v="1"/>
    <x v="0"/>
    <x v="0"/>
    <x v="41"/>
    <x v="0"/>
    <x v="23"/>
    <x v="25"/>
    <x v="0"/>
    <x v="21"/>
    <x v="22"/>
    <x v="0"/>
    <x v="24"/>
    <x v="16"/>
    <x v="21"/>
    <x v="0"/>
    <x v="10"/>
    <x v="0"/>
    <x v="0"/>
  </r>
  <r>
    <x v="43"/>
    <x v="43"/>
    <x v="28"/>
    <x v="18"/>
    <x v="2"/>
    <x v="4"/>
    <x v="2"/>
    <x v="42"/>
    <x v="0"/>
    <x v="18"/>
    <x v="26"/>
    <x v="0"/>
    <x v="16"/>
    <x v="23"/>
    <x v="0"/>
    <x v="25"/>
    <x v="17"/>
    <x v="22"/>
    <x v="0"/>
    <x v="24"/>
    <x v="0"/>
    <x v="0"/>
  </r>
  <r>
    <x v="44"/>
    <x v="44"/>
    <x v="29"/>
    <x v="8"/>
    <x v="4"/>
    <x v="2"/>
    <x v="0"/>
    <x v="43"/>
    <x v="0"/>
    <x v="24"/>
    <x v="27"/>
    <x v="0"/>
    <x v="7"/>
    <x v="24"/>
    <x v="0"/>
    <x v="10"/>
    <x v="18"/>
    <x v="23"/>
    <x v="0"/>
    <x v="25"/>
    <x v="0"/>
    <x v="0"/>
  </r>
  <r>
    <x v="45"/>
    <x v="45"/>
    <x v="30"/>
    <x v="19"/>
    <x v="4"/>
    <x v="2"/>
    <x v="2"/>
    <x v="44"/>
    <x v="0"/>
    <x v="10"/>
    <x v="28"/>
    <x v="0"/>
    <x v="22"/>
    <x v="25"/>
    <x v="0"/>
    <x v="26"/>
    <x v="18"/>
    <x v="8"/>
    <x v="0"/>
    <x v="18"/>
    <x v="0"/>
    <x v="0"/>
  </r>
  <r>
    <x v="46"/>
    <x v="46"/>
    <x v="31"/>
    <x v="0"/>
    <x v="0"/>
    <x v="0"/>
    <x v="2"/>
    <x v="45"/>
    <x v="0"/>
    <x v="25"/>
    <x v="29"/>
    <x v="0"/>
    <x v="23"/>
    <x v="26"/>
    <x v="0"/>
    <x v="27"/>
    <x v="9"/>
    <x v="24"/>
    <x v="0"/>
    <x v="26"/>
    <x v="0"/>
    <x v="0"/>
  </r>
  <r>
    <x v="47"/>
    <x v="47"/>
    <x v="32"/>
    <x v="6"/>
    <x v="1"/>
    <x v="0"/>
    <x v="2"/>
    <x v="46"/>
    <x v="0"/>
    <x v="26"/>
    <x v="30"/>
    <x v="0"/>
    <x v="7"/>
    <x v="27"/>
    <x v="0"/>
    <x v="28"/>
    <x v="7"/>
    <x v="25"/>
    <x v="0"/>
    <x v="27"/>
    <x v="1"/>
    <x v="1"/>
  </r>
  <r>
    <x v="48"/>
    <x v="48"/>
    <x v="33"/>
    <x v="6"/>
    <x v="1"/>
    <x v="2"/>
    <x v="2"/>
    <x v="47"/>
    <x v="0"/>
    <x v="27"/>
    <x v="31"/>
    <x v="0"/>
    <x v="24"/>
    <x v="28"/>
    <x v="0"/>
    <x v="29"/>
    <x v="19"/>
    <x v="26"/>
    <x v="0"/>
    <x v="28"/>
    <x v="0"/>
    <x v="0"/>
  </r>
  <r>
    <x v="49"/>
    <x v="49"/>
    <x v="34"/>
    <x v="0"/>
    <x v="0"/>
    <x v="0"/>
    <x v="2"/>
    <x v="48"/>
    <x v="0"/>
    <x v="28"/>
    <x v="32"/>
    <x v="0"/>
    <x v="25"/>
    <x v="29"/>
    <x v="0"/>
    <x v="30"/>
    <x v="5"/>
    <x v="2"/>
    <x v="0"/>
    <x v="29"/>
    <x v="1"/>
    <x v="1"/>
  </r>
  <r>
    <x v="50"/>
    <x v="50"/>
    <x v="0"/>
    <x v="0"/>
    <x v="0"/>
    <x v="0"/>
    <x v="2"/>
    <x v="49"/>
    <x v="0"/>
    <x v="29"/>
    <x v="33"/>
    <x v="0"/>
    <x v="26"/>
    <x v="30"/>
    <x v="0"/>
    <x v="31"/>
    <x v="3"/>
    <x v="15"/>
    <x v="0"/>
    <x v="30"/>
    <x v="0"/>
    <x v="0"/>
  </r>
  <r>
    <x v="51"/>
    <x v="51"/>
    <x v="0"/>
    <x v="0"/>
    <x v="0"/>
    <x v="0"/>
    <x v="0"/>
    <x v="50"/>
    <x v="0"/>
    <x v="30"/>
    <x v="34"/>
    <x v="0"/>
    <x v="27"/>
    <x v="31"/>
    <x v="0"/>
    <x v="32"/>
    <x v="20"/>
    <x v="27"/>
    <x v="0"/>
    <x v="31"/>
    <x v="1"/>
    <x v="1"/>
  </r>
  <r>
    <x v="52"/>
    <x v="52"/>
    <x v="0"/>
    <x v="0"/>
    <x v="0"/>
    <x v="0"/>
    <x v="2"/>
    <x v="51"/>
    <x v="0"/>
    <x v="31"/>
    <x v="35"/>
    <x v="0"/>
    <x v="28"/>
    <x v="32"/>
    <x v="0"/>
    <x v="4"/>
    <x v="13"/>
    <x v="8"/>
    <x v="0"/>
    <x v="32"/>
    <x v="0"/>
    <x v="0"/>
  </r>
  <r>
    <x v="53"/>
    <x v="53"/>
    <x v="1"/>
    <x v="0"/>
    <x v="0"/>
    <x v="0"/>
    <x v="2"/>
    <x v="52"/>
    <x v="0"/>
    <x v="32"/>
    <x v="36"/>
    <x v="0"/>
    <x v="9"/>
    <x v="33"/>
    <x v="0"/>
    <x v="33"/>
    <x v="18"/>
    <x v="28"/>
    <x v="0"/>
    <x v="33"/>
    <x v="1"/>
    <x v="1"/>
  </r>
  <r>
    <x v="54"/>
    <x v="54"/>
    <x v="1"/>
    <x v="0"/>
    <x v="0"/>
    <x v="0"/>
    <x v="0"/>
    <x v="53"/>
    <x v="0"/>
    <x v="26"/>
    <x v="37"/>
    <x v="0"/>
    <x v="29"/>
    <x v="34"/>
    <x v="0"/>
    <x v="34"/>
    <x v="21"/>
    <x v="29"/>
    <x v="0"/>
    <x v="34"/>
    <x v="0"/>
    <x v="0"/>
  </r>
  <r>
    <x v="55"/>
    <x v="55"/>
    <x v="4"/>
    <x v="2"/>
    <x v="2"/>
    <x v="0"/>
    <x v="2"/>
    <x v="54"/>
    <x v="0"/>
    <x v="33"/>
    <x v="38"/>
    <x v="0"/>
    <x v="13"/>
    <x v="35"/>
    <x v="0"/>
    <x v="35"/>
    <x v="22"/>
    <x v="30"/>
    <x v="0"/>
    <x v="35"/>
    <x v="1"/>
    <x v="1"/>
  </r>
  <r>
    <x v="56"/>
    <x v="56"/>
    <x v="4"/>
    <x v="2"/>
    <x v="2"/>
    <x v="0"/>
    <x v="2"/>
    <x v="55"/>
    <x v="0"/>
    <x v="34"/>
    <x v="39"/>
    <x v="0"/>
    <x v="30"/>
    <x v="36"/>
    <x v="0"/>
    <x v="36"/>
    <x v="4"/>
    <x v="31"/>
    <x v="0"/>
    <x v="0"/>
    <x v="0"/>
    <x v="0"/>
  </r>
  <r>
    <x v="57"/>
    <x v="57"/>
    <x v="4"/>
    <x v="2"/>
    <x v="2"/>
    <x v="0"/>
    <x v="2"/>
    <x v="56"/>
    <x v="0"/>
    <x v="35"/>
    <x v="40"/>
    <x v="0"/>
    <x v="2"/>
    <x v="2"/>
    <x v="0"/>
    <x v="5"/>
    <x v="5"/>
    <x v="5"/>
    <x v="0"/>
    <x v="36"/>
    <x v="1"/>
    <x v="1"/>
  </r>
  <r>
    <x v="58"/>
    <x v="58"/>
    <x v="5"/>
    <x v="3"/>
    <x v="2"/>
    <x v="0"/>
    <x v="2"/>
    <x v="18"/>
    <x v="0"/>
    <x v="36"/>
    <x v="41"/>
    <x v="0"/>
    <x v="31"/>
    <x v="37"/>
    <x v="0"/>
    <x v="37"/>
    <x v="19"/>
    <x v="7"/>
    <x v="0"/>
    <x v="37"/>
    <x v="0"/>
    <x v="0"/>
  </r>
  <r>
    <x v="59"/>
    <x v="59"/>
    <x v="5"/>
    <x v="3"/>
    <x v="2"/>
    <x v="0"/>
    <x v="2"/>
    <x v="57"/>
    <x v="0"/>
    <x v="37"/>
    <x v="42"/>
    <x v="0"/>
    <x v="32"/>
    <x v="38"/>
    <x v="0"/>
    <x v="14"/>
    <x v="7"/>
    <x v="12"/>
    <x v="0"/>
    <x v="38"/>
    <x v="1"/>
    <x v="1"/>
  </r>
  <r>
    <x v="60"/>
    <x v="60"/>
    <x v="6"/>
    <x v="4"/>
    <x v="0"/>
    <x v="0"/>
    <x v="0"/>
    <x v="58"/>
    <x v="0"/>
    <x v="38"/>
    <x v="43"/>
    <x v="0"/>
    <x v="33"/>
    <x v="39"/>
    <x v="0"/>
    <x v="38"/>
    <x v="23"/>
    <x v="32"/>
    <x v="0"/>
    <x v="39"/>
    <x v="0"/>
    <x v="0"/>
  </r>
  <r>
    <x v="61"/>
    <x v="61"/>
    <x v="6"/>
    <x v="4"/>
    <x v="0"/>
    <x v="0"/>
    <x v="2"/>
    <x v="59"/>
    <x v="0"/>
    <x v="39"/>
    <x v="44"/>
    <x v="0"/>
    <x v="5"/>
    <x v="5"/>
    <x v="0"/>
    <x v="39"/>
    <x v="22"/>
    <x v="6"/>
    <x v="0"/>
    <x v="40"/>
    <x v="1"/>
    <x v="1"/>
  </r>
  <r>
    <x v="62"/>
    <x v="62"/>
    <x v="8"/>
    <x v="5"/>
    <x v="3"/>
    <x v="0"/>
    <x v="2"/>
    <x v="26"/>
    <x v="0"/>
    <x v="40"/>
    <x v="45"/>
    <x v="0"/>
    <x v="34"/>
    <x v="40"/>
    <x v="0"/>
    <x v="31"/>
    <x v="24"/>
    <x v="33"/>
    <x v="0"/>
    <x v="41"/>
    <x v="0"/>
    <x v="0"/>
  </r>
  <r>
    <x v="63"/>
    <x v="63"/>
    <x v="8"/>
    <x v="5"/>
    <x v="3"/>
    <x v="0"/>
    <x v="2"/>
    <x v="60"/>
    <x v="0"/>
    <x v="41"/>
    <x v="46"/>
    <x v="0"/>
    <x v="35"/>
    <x v="41"/>
    <x v="0"/>
    <x v="6"/>
    <x v="6"/>
    <x v="2"/>
    <x v="0"/>
    <x v="42"/>
    <x v="1"/>
    <x v="1"/>
  </r>
  <r>
    <x v="64"/>
    <x v="64"/>
    <x v="3"/>
    <x v="1"/>
    <x v="1"/>
    <x v="0"/>
    <x v="0"/>
    <x v="61"/>
    <x v="0"/>
    <x v="22"/>
    <x v="47"/>
    <x v="0"/>
    <x v="36"/>
    <x v="42"/>
    <x v="0"/>
    <x v="33"/>
    <x v="18"/>
    <x v="28"/>
    <x v="0"/>
    <x v="38"/>
    <x v="0"/>
    <x v="0"/>
  </r>
  <r>
    <x v="65"/>
    <x v="65"/>
    <x v="3"/>
    <x v="1"/>
    <x v="1"/>
    <x v="0"/>
    <x v="2"/>
    <x v="62"/>
    <x v="0"/>
    <x v="42"/>
    <x v="48"/>
    <x v="0"/>
    <x v="10"/>
    <x v="10"/>
    <x v="0"/>
    <x v="7"/>
    <x v="7"/>
    <x v="6"/>
    <x v="0"/>
    <x v="7"/>
    <x v="1"/>
    <x v="1"/>
  </r>
  <r>
    <x v="66"/>
    <x v="66"/>
    <x v="12"/>
    <x v="9"/>
    <x v="2"/>
    <x v="0"/>
    <x v="2"/>
    <x v="63"/>
    <x v="0"/>
    <x v="43"/>
    <x v="49"/>
    <x v="0"/>
    <x v="37"/>
    <x v="43"/>
    <x v="0"/>
    <x v="40"/>
    <x v="25"/>
    <x v="34"/>
    <x v="0"/>
    <x v="43"/>
    <x v="0"/>
    <x v="0"/>
  </r>
  <r>
    <x v="67"/>
    <x v="67"/>
    <x v="12"/>
    <x v="9"/>
    <x v="2"/>
    <x v="0"/>
    <x v="2"/>
    <x v="64"/>
    <x v="0"/>
    <x v="44"/>
    <x v="50"/>
    <x v="0"/>
    <x v="38"/>
    <x v="44"/>
    <x v="0"/>
    <x v="18"/>
    <x v="6"/>
    <x v="16"/>
    <x v="0"/>
    <x v="44"/>
    <x v="1"/>
    <x v="1"/>
  </r>
  <r>
    <x v="68"/>
    <x v="68"/>
    <x v="35"/>
    <x v="6"/>
    <x v="1"/>
    <x v="2"/>
    <x v="2"/>
    <x v="65"/>
    <x v="0"/>
    <x v="45"/>
    <x v="51"/>
    <x v="0"/>
    <x v="39"/>
    <x v="45"/>
    <x v="0"/>
    <x v="41"/>
    <x v="26"/>
    <x v="35"/>
    <x v="0"/>
    <x v="13"/>
    <x v="2"/>
    <x v="2"/>
  </r>
  <r>
    <x v="69"/>
    <x v="69"/>
    <x v="36"/>
    <x v="6"/>
    <x v="1"/>
    <x v="2"/>
    <x v="2"/>
    <x v="66"/>
    <x v="0"/>
    <x v="46"/>
    <x v="52"/>
    <x v="0"/>
    <x v="26"/>
    <x v="30"/>
    <x v="0"/>
    <x v="42"/>
    <x v="27"/>
    <x v="36"/>
    <x v="0"/>
    <x v="45"/>
    <x v="1"/>
    <x v="1"/>
  </r>
  <r>
    <x v="70"/>
    <x v="70"/>
    <x v="37"/>
    <x v="6"/>
    <x v="1"/>
    <x v="2"/>
    <x v="0"/>
    <x v="67"/>
    <x v="0"/>
    <x v="47"/>
    <x v="53"/>
    <x v="0"/>
    <x v="40"/>
    <x v="46"/>
    <x v="0"/>
    <x v="43"/>
    <x v="4"/>
    <x v="37"/>
    <x v="0"/>
    <x v="46"/>
    <x v="0"/>
    <x v="0"/>
  </r>
  <r>
    <x v="71"/>
    <x v="71"/>
    <x v="38"/>
    <x v="6"/>
    <x v="1"/>
    <x v="2"/>
    <x v="2"/>
    <x v="68"/>
    <x v="0"/>
    <x v="48"/>
    <x v="54"/>
    <x v="0"/>
    <x v="9"/>
    <x v="33"/>
    <x v="0"/>
    <x v="44"/>
    <x v="22"/>
    <x v="38"/>
    <x v="0"/>
    <x v="47"/>
    <x v="0"/>
    <x v="0"/>
  </r>
  <r>
    <x v="72"/>
    <x v="72"/>
    <x v="39"/>
    <x v="7"/>
    <x v="1"/>
    <x v="2"/>
    <x v="0"/>
    <x v="69"/>
    <x v="0"/>
    <x v="49"/>
    <x v="55"/>
    <x v="0"/>
    <x v="41"/>
    <x v="47"/>
    <x v="0"/>
    <x v="45"/>
    <x v="28"/>
    <x v="39"/>
    <x v="0"/>
    <x v="48"/>
    <x v="2"/>
    <x v="2"/>
  </r>
  <r>
    <x v="73"/>
    <x v="73"/>
    <x v="40"/>
    <x v="7"/>
    <x v="1"/>
    <x v="2"/>
    <x v="2"/>
    <x v="70"/>
    <x v="0"/>
    <x v="50"/>
    <x v="56"/>
    <x v="0"/>
    <x v="42"/>
    <x v="48"/>
    <x v="0"/>
    <x v="46"/>
    <x v="7"/>
    <x v="8"/>
    <x v="0"/>
    <x v="5"/>
    <x v="1"/>
    <x v="1"/>
  </r>
  <r>
    <x v="74"/>
    <x v="74"/>
    <x v="41"/>
    <x v="7"/>
    <x v="1"/>
    <x v="2"/>
    <x v="2"/>
    <x v="71"/>
    <x v="0"/>
    <x v="51"/>
    <x v="57"/>
    <x v="0"/>
    <x v="9"/>
    <x v="49"/>
    <x v="0"/>
    <x v="47"/>
    <x v="9"/>
    <x v="8"/>
    <x v="0"/>
    <x v="40"/>
    <x v="0"/>
    <x v="0"/>
  </r>
  <r>
    <x v="75"/>
    <x v="75"/>
    <x v="42"/>
    <x v="8"/>
    <x v="4"/>
    <x v="0"/>
    <x v="2"/>
    <x v="72"/>
    <x v="0"/>
    <x v="52"/>
    <x v="58"/>
    <x v="0"/>
    <x v="20"/>
    <x v="50"/>
    <x v="0"/>
    <x v="22"/>
    <x v="5"/>
    <x v="8"/>
    <x v="0"/>
    <x v="49"/>
    <x v="1"/>
    <x v="1"/>
  </r>
  <r>
    <x v="76"/>
    <x v="76"/>
    <x v="43"/>
    <x v="8"/>
    <x v="4"/>
    <x v="0"/>
    <x v="0"/>
    <x v="73"/>
    <x v="0"/>
    <x v="40"/>
    <x v="45"/>
    <x v="0"/>
    <x v="43"/>
    <x v="51"/>
    <x v="0"/>
    <x v="48"/>
    <x v="29"/>
    <x v="14"/>
    <x v="0"/>
    <x v="10"/>
    <x v="0"/>
    <x v="0"/>
  </r>
  <r>
    <x v="77"/>
    <x v="77"/>
    <x v="44"/>
    <x v="2"/>
    <x v="2"/>
    <x v="2"/>
    <x v="2"/>
    <x v="74"/>
    <x v="0"/>
    <x v="9"/>
    <x v="59"/>
    <x v="0"/>
    <x v="4"/>
    <x v="52"/>
    <x v="0"/>
    <x v="49"/>
    <x v="9"/>
    <x v="40"/>
    <x v="0"/>
    <x v="50"/>
    <x v="0"/>
    <x v="0"/>
  </r>
  <r>
    <x v="78"/>
    <x v="78"/>
    <x v="45"/>
    <x v="2"/>
    <x v="2"/>
    <x v="0"/>
    <x v="0"/>
    <x v="75"/>
    <x v="0"/>
    <x v="53"/>
    <x v="60"/>
    <x v="0"/>
    <x v="44"/>
    <x v="53"/>
    <x v="0"/>
    <x v="50"/>
    <x v="8"/>
    <x v="41"/>
    <x v="0"/>
    <x v="51"/>
    <x v="0"/>
    <x v="0"/>
  </r>
  <r>
    <x v="79"/>
    <x v="79"/>
    <x v="46"/>
    <x v="3"/>
    <x v="2"/>
    <x v="2"/>
    <x v="2"/>
    <x v="76"/>
    <x v="0"/>
    <x v="54"/>
    <x v="61"/>
    <x v="0"/>
    <x v="45"/>
    <x v="54"/>
    <x v="0"/>
    <x v="28"/>
    <x v="7"/>
    <x v="25"/>
    <x v="0"/>
    <x v="27"/>
    <x v="1"/>
    <x v="1"/>
  </r>
  <r>
    <x v="80"/>
    <x v="80"/>
    <x v="47"/>
    <x v="3"/>
    <x v="2"/>
    <x v="0"/>
    <x v="2"/>
    <x v="77"/>
    <x v="0"/>
    <x v="55"/>
    <x v="62"/>
    <x v="0"/>
    <x v="23"/>
    <x v="55"/>
    <x v="0"/>
    <x v="51"/>
    <x v="16"/>
    <x v="42"/>
    <x v="0"/>
    <x v="52"/>
    <x v="0"/>
    <x v="0"/>
  </r>
  <r>
    <x v="81"/>
    <x v="81"/>
    <x v="48"/>
    <x v="4"/>
    <x v="0"/>
    <x v="2"/>
    <x v="2"/>
    <x v="78"/>
    <x v="0"/>
    <x v="56"/>
    <x v="63"/>
    <x v="0"/>
    <x v="46"/>
    <x v="56"/>
    <x v="0"/>
    <x v="30"/>
    <x v="5"/>
    <x v="2"/>
    <x v="0"/>
    <x v="29"/>
    <x v="0"/>
    <x v="0"/>
  </r>
  <r>
    <x v="82"/>
    <x v="82"/>
    <x v="49"/>
    <x v="4"/>
    <x v="0"/>
    <x v="0"/>
    <x v="2"/>
    <x v="79"/>
    <x v="0"/>
    <x v="57"/>
    <x v="64"/>
    <x v="0"/>
    <x v="22"/>
    <x v="25"/>
    <x v="0"/>
    <x v="52"/>
    <x v="29"/>
    <x v="38"/>
    <x v="0"/>
    <x v="53"/>
    <x v="0"/>
    <x v="0"/>
  </r>
  <r>
    <x v="83"/>
    <x v="83"/>
    <x v="50"/>
    <x v="5"/>
    <x v="3"/>
    <x v="0"/>
    <x v="2"/>
    <x v="80"/>
    <x v="0"/>
    <x v="58"/>
    <x v="65"/>
    <x v="0"/>
    <x v="47"/>
    <x v="57"/>
    <x v="0"/>
    <x v="53"/>
    <x v="20"/>
    <x v="43"/>
    <x v="0"/>
    <x v="52"/>
    <x v="1"/>
    <x v="1"/>
  </r>
  <r>
    <x v="84"/>
    <x v="84"/>
    <x v="51"/>
    <x v="5"/>
    <x v="3"/>
    <x v="2"/>
    <x v="2"/>
    <x v="81"/>
    <x v="0"/>
    <x v="59"/>
    <x v="6"/>
    <x v="0"/>
    <x v="13"/>
    <x v="13"/>
    <x v="0"/>
    <x v="10"/>
    <x v="18"/>
    <x v="23"/>
    <x v="0"/>
    <x v="54"/>
    <x v="0"/>
    <x v="0"/>
  </r>
  <r>
    <x v="85"/>
    <x v="85"/>
    <x v="52"/>
    <x v="5"/>
    <x v="3"/>
    <x v="0"/>
    <x v="2"/>
    <x v="20"/>
    <x v="0"/>
    <x v="60"/>
    <x v="66"/>
    <x v="0"/>
    <x v="48"/>
    <x v="58"/>
    <x v="0"/>
    <x v="6"/>
    <x v="6"/>
    <x v="2"/>
    <x v="0"/>
    <x v="55"/>
    <x v="1"/>
    <x v="1"/>
  </r>
  <r>
    <x v="86"/>
    <x v="86"/>
    <x v="53"/>
    <x v="17"/>
    <x v="1"/>
    <x v="0"/>
    <x v="0"/>
    <x v="82"/>
    <x v="0"/>
    <x v="61"/>
    <x v="67"/>
    <x v="0"/>
    <x v="49"/>
    <x v="59"/>
    <x v="0"/>
    <x v="54"/>
    <x v="25"/>
    <x v="44"/>
    <x v="0"/>
    <x v="56"/>
    <x v="0"/>
    <x v="0"/>
  </r>
  <r>
    <x v="87"/>
    <x v="87"/>
    <x v="54"/>
    <x v="17"/>
    <x v="1"/>
    <x v="0"/>
    <x v="2"/>
    <x v="83"/>
    <x v="0"/>
    <x v="62"/>
    <x v="68"/>
    <x v="0"/>
    <x v="50"/>
    <x v="60"/>
    <x v="0"/>
    <x v="16"/>
    <x v="6"/>
    <x v="14"/>
    <x v="0"/>
    <x v="18"/>
    <x v="1"/>
    <x v="1"/>
  </r>
  <r>
    <x v="88"/>
    <x v="88"/>
    <x v="55"/>
    <x v="15"/>
    <x v="3"/>
    <x v="0"/>
    <x v="2"/>
    <x v="84"/>
    <x v="0"/>
    <x v="63"/>
    <x v="69"/>
    <x v="0"/>
    <x v="51"/>
    <x v="61"/>
    <x v="0"/>
    <x v="55"/>
    <x v="30"/>
    <x v="45"/>
    <x v="0"/>
    <x v="57"/>
    <x v="0"/>
    <x v="0"/>
  </r>
  <r>
    <x v="89"/>
    <x v="89"/>
    <x v="56"/>
    <x v="15"/>
    <x v="3"/>
    <x v="0"/>
    <x v="2"/>
    <x v="85"/>
    <x v="0"/>
    <x v="64"/>
    <x v="70"/>
    <x v="0"/>
    <x v="52"/>
    <x v="62"/>
    <x v="0"/>
    <x v="25"/>
    <x v="17"/>
    <x v="22"/>
    <x v="0"/>
    <x v="17"/>
    <x v="1"/>
    <x v="1"/>
  </r>
  <r>
    <x v="90"/>
    <x v="90"/>
    <x v="57"/>
    <x v="10"/>
    <x v="2"/>
    <x v="0"/>
    <x v="2"/>
    <x v="86"/>
    <x v="0"/>
    <x v="25"/>
    <x v="71"/>
    <x v="0"/>
    <x v="52"/>
    <x v="63"/>
    <x v="0"/>
    <x v="25"/>
    <x v="17"/>
    <x v="22"/>
    <x v="0"/>
    <x v="58"/>
    <x v="0"/>
    <x v="0"/>
  </r>
  <r>
    <x v="91"/>
    <x v="91"/>
    <x v="58"/>
    <x v="10"/>
    <x v="2"/>
    <x v="0"/>
    <x v="2"/>
    <x v="87"/>
    <x v="0"/>
    <x v="65"/>
    <x v="72"/>
    <x v="0"/>
    <x v="53"/>
    <x v="64"/>
    <x v="0"/>
    <x v="42"/>
    <x v="27"/>
    <x v="36"/>
    <x v="0"/>
    <x v="58"/>
    <x v="1"/>
    <x v="1"/>
  </r>
  <r>
    <x v="92"/>
    <x v="92"/>
    <x v="59"/>
    <x v="20"/>
    <x v="1"/>
    <x v="2"/>
    <x v="0"/>
    <x v="88"/>
    <x v="0"/>
    <x v="0"/>
    <x v="73"/>
    <x v="0"/>
    <x v="54"/>
    <x v="65"/>
    <x v="0"/>
    <x v="56"/>
    <x v="3"/>
    <x v="46"/>
    <x v="0"/>
    <x v="59"/>
    <x v="0"/>
    <x v="0"/>
  </r>
  <r>
    <x v="93"/>
    <x v="93"/>
    <x v="59"/>
    <x v="20"/>
    <x v="1"/>
    <x v="0"/>
    <x v="1"/>
    <x v="1"/>
    <x v="1"/>
    <x v="1"/>
    <x v="1"/>
    <x v="1"/>
    <x v="1"/>
    <x v="1"/>
    <x v="1"/>
    <x v="1"/>
    <x v="1"/>
    <x v="1"/>
    <x v="1"/>
    <x v="1"/>
    <x v="0"/>
    <x v="0"/>
  </r>
  <r>
    <x v="94"/>
    <x v="94"/>
    <x v="60"/>
    <x v="21"/>
    <x v="0"/>
    <x v="0"/>
    <x v="2"/>
    <x v="89"/>
    <x v="0"/>
    <x v="50"/>
    <x v="74"/>
    <x v="0"/>
    <x v="16"/>
    <x v="23"/>
    <x v="0"/>
    <x v="39"/>
    <x v="22"/>
    <x v="6"/>
    <x v="0"/>
    <x v="11"/>
    <x v="1"/>
    <x v="1"/>
  </r>
  <r>
    <x v="95"/>
    <x v="95"/>
    <x v="61"/>
    <x v="22"/>
    <x v="1"/>
    <x v="0"/>
    <x v="2"/>
    <x v="90"/>
    <x v="0"/>
    <x v="66"/>
    <x v="75"/>
    <x v="0"/>
    <x v="55"/>
    <x v="66"/>
    <x v="0"/>
    <x v="57"/>
    <x v="19"/>
    <x v="47"/>
    <x v="0"/>
    <x v="60"/>
    <x v="0"/>
    <x v="0"/>
  </r>
  <r>
    <x v="96"/>
    <x v="96"/>
    <x v="62"/>
    <x v="16"/>
    <x v="1"/>
    <x v="0"/>
    <x v="2"/>
    <x v="91"/>
    <x v="0"/>
    <x v="67"/>
    <x v="76"/>
    <x v="0"/>
    <x v="2"/>
    <x v="2"/>
    <x v="0"/>
    <x v="7"/>
    <x v="7"/>
    <x v="6"/>
    <x v="0"/>
    <x v="16"/>
    <x v="1"/>
    <x v="1"/>
  </r>
  <r>
    <x v="97"/>
    <x v="97"/>
    <x v="62"/>
    <x v="16"/>
    <x v="1"/>
    <x v="0"/>
    <x v="2"/>
    <x v="49"/>
    <x v="0"/>
    <x v="68"/>
    <x v="77"/>
    <x v="0"/>
    <x v="20"/>
    <x v="50"/>
    <x v="0"/>
    <x v="58"/>
    <x v="17"/>
    <x v="48"/>
    <x v="0"/>
    <x v="44"/>
    <x v="0"/>
    <x v="0"/>
  </r>
  <r>
    <x v="98"/>
    <x v="98"/>
    <x v="63"/>
    <x v="23"/>
    <x v="5"/>
    <x v="0"/>
    <x v="2"/>
    <x v="92"/>
    <x v="0"/>
    <x v="69"/>
    <x v="78"/>
    <x v="0"/>
    <x v="56"/>
    <x v="67"/>
    <x v="0"/>
    <x v="18"/>
    <x v="6"/>
    <x v="16"/>
    <x v="0"/>
    <x v="7"/>
    <x v="1"/>
    <x v="1"/>
  </r>
  <r>
    <x v="99"/>
    <x v="99"/>
    <x v="64"/>
    <x v="24"/>
    <x v="5"/>
    <x v="0"/>
    <x v="2"/>
    <x v="93"/>
    <x v="0"/>
    <x v="43"/>
    <x v="79"/>
    <x v="0"/>
    <x v="57"/>
    <x v="68"/>
    <x v="0"/>
    <x v="59"/>
    <x v="21"/>
    <x v="42"/>
    <x v="0"/>
    <x v="61"/>
    <x v="0"/>
    <x v="0"/>
  </r>
  <r>
    <x v="100"/>
    <x v="100"/>
    <x v="65"/>
    <x v="25"/>
    <x v="5"/>
    <x v="0"/>
    <x v="2"/>
    <x v="94"/>
    <x v="0"/>
    <x v="70"/>
    <x v="80"/>
    <x v="0"/>
    <x v="35"/>
    <x v="41"/>
    <x v="0"/>
    <x v="14"/>
    <x v="7"/>
    <x v="12"/>
    <x v="0"/>
    <x v="6"/>
    <x v="1"/>
    <x v="1"/>
  </r>
  <r>
    <x v="101"/>
    <x v="101"/>
    <x v="66"/>
    <x v="26"/>
    <x v="5"/>
    <x v="0"/>
    <x v="2"/>
    <x v="95"/>
    <x v="0"/>
    <x v="71"/>
    <x v="81"/>
    <x v="0"/>
    <x v="58"/>
    <x v="69"/>
    <x v="0"/>
    <x v="16"/>
    <x v="6"/>
    <x v="14"/>
    <x v="0"/>
    <x v="55"/>
    <x v="0"/>
    <x v="0"/>
  </r>
  <r>
    <x v="102"/>
    <x v="102"/>
    <x v="67"/>
    <x v="27"/>
    <x v="5"/>
    <x v="0"/>
    <x v="2"/>
    <x v="96"/>
    <x v="0"/>
    <x v="72"/>
    <x v="82"/>
    <x v="0"/>
    <x v="59"/>
    <x v="70"/>
    <x v="0"/>
    <x v="60"/>
    <x v="31"/>
    <x v="49"/>
    <x v="0"/>
    <x v="30"/>
    <x v="1"/>
    <x v="1"/>
  </r>
  <r>
    <x v="103"/>
    <x v="103"/>
    <x v="68"/>
    <x v="28"/>
    <x v="5"/>
    <x v="0"/>
    <x v="2"/>
    <x v="2"/>
    <x v="0"/>
    <x v="73"/>
    <x v="83"/>
    <x v="0"/>
    <x v="40"/>
    <x v="71"/>
    <x v="0"/>
    <x v="36"/>
    <x v="4"/>
    <x v="31"/>
    <x v="0"/>
    <x v="62"/>
    <x v="0"/>
    <x v="0"/>
  </r>
  <r>
    <x v="104"/>
    <x v="104"/>
    <x v="69"/>
    <x v="29"/>
    <x v="5"/>
    <x v="0"/>
    <x v="2"/>
    <x v="97"/>
    <x v="0"/>
    <x v="14"/>
    <x v="84"/>
    <x v="0"/>
    <x v="42"/>
    <x v="48"/>
    <x v="0"/>
    <x v="22"/>
    <x v="5"/>
    <x v="8"/>
    <x v="0"/>
    <x v="26"/>
    <x v="1"/>
    <x v="1"/>
  </r>
  <r>
    <x v="105"/>
    <x v="105"/>
    <x v="70"/>
    <x v="14"/>
    <x v="5"/>
    <x v="2"/>
    <x v="0"/>
    <x v="98"/>
    <x v="0"/>
    <x v="74"/>
    <x v="85"/>
    <x v="0"/>
    <x v="60"/>
    <x v="72"/>
    <x v="0"/>
    <x v="19"/>
    <x v="25"/>
    <x v="50"/>
    <x v="0"/>
    <x v="63"/>
    <x v="0"/>
    <x v="0"/>
  </r>
  <r>
    <x v="106"/>
    <x v="106"/>
    <x v="71"/>
    <x v="14"/>
    <x v="5"/>
    <x v="2"/>
    <x v="2"/>
    <x v="99"/>
    <x v="0"/>
    <x v="75"/>
    <x v="86"/>
    <x v="0"/>
    <x v="5"/>
    <x v="73"/>
    <x v="0"/>
    <x v="10"/>
    <x v="18"/>
    <x v="23"/>
    <x v="0"/>
    <x v="41"/>
    <x v="0"/>
    <x v="0"/>
  </r>
  <r>
    <x v="107"/>
    <x v="107"/>
    <x v="0"/>
    <x v="0"/>
    <x v="0"/>
    <x v="0"/>
    <x v="2"/>
    <x v="100"/>
    <x v="0"/>
    <x v="76"/>
    <x v="87"/>
    <x v="0"/>
    <x v="22"/>
    <x v="74"/>
    <x v="0"/>
    <x v="61"/>
    <x v="26"/>
    <x v="51"/>
    <x v="0"/>
    <x v="19"/>
    <x v="0"/>
    <x v="0"/>
  </r>
  <r>
    <x v="108"/>
    <x v="108"/>
    <x v="0"/>
    <x v="0"/>
    <x v="0"/>
    <x v="0"/>
    <x v="2"/>
    <x v="101"/>
    <x v="0"/>
    <x v="26"/>
    <x v="88"/>
    <x v="0"/>
    <x v="13"/>
    <x v="13"/>
    <x v="0"/>
    <x v="47"/>
    <x v="9"/>
    <x v="8"/>
    <x v="0"/>
    <x v="64"/>
    <x v="1"/>
    <x v="1"/>
  </r>
  <r>
    <x v="109"/>
    <x v="109"/>
    <x v="0"/>
    <x v="0"/>
    <x v="0"/>
    <x v="0"/>
    <x v="2"/>
    <x v="102"/>
    <x v="0"/>
    <x v="39"/>
    <x v="89"/>
    <x v="0"/>
    <x v="24"/>
    <x v="75"/>
    <x v="0"/>
    <x v="62"/>
    <x v="15"/>
    <x v="52"/>
    <x v="0"/>
    <x v="65"/>
    <x v="0"/>
    <x v="0"/>
  </r>
  <r>
    <x v="110"/>
    <x v="110"/>
    <x v="0"/>
    <x v="0"/>
    <x v="0"/>
    <x v="0"/>
    <x v="2"/>
    <x v="103"/>
    <x v="0"/>
    <x v="77"/>
    <x v="90"/>
    <x v="0"/>
    <x v="9"/>
    <x v="33"/>
    <x v="0"/>
    <x v="28"/>
    <x v="7"/>
    <x v="25"/>
    <x v="0"/>
    <x v="5"/>
    <x v="1"/>
    <x v="1"/>
  </r>
  <r>
    <x v="111"/>
    <x v="111"/>
    <x v="0"/>
    <x v="0"/>
    <x v="0"/>
    <x v="0"/>
    <x v="2"/>
    <x v="104"/>
    <x v="0"/>
    <x v="61"/>
    <x v="91"/>
    <x v="0"/>
    <x v="16"/>
    <x v="23"/>
    <x v="0"/>
    <x v="48"/>
    <x v="29"/>
    <x v="14"/>
    <x v="0"/>
    <x v="66"/>
    <x v="0"/>
    <x v="0"/>
  </r>
  <r>
    <x v="112"/>
    <x v="112"/>
    <x v="0"/>
    <x v="0"/>
    <x v="0"/>
    <x v="0"/>
    <x v="2"/>
    <x v="70"/>
    <x v="0"/>
    <x v="78"/>
    <x v="7"/>
    <x v="0"/>
    <x v="61"/>
    <x v="76"/>
    <x v="0"/>
    <x v="30"/>
    <x v="5"/>
    <x v="2"/>
    <x v="0"/>
    <x v="38"/>
    <x v="1"/>
    <x v="1"/>
  </r>
  <r>
    <x v="113"/>
    <x v="113"/>
    <x v="0"/>
    <x v="0"/>
    <x v="0"/>
    <x v="0"/>
    <x v="2"/>
    <x v="105"/>
    <x v="0"/>
    <x v="8"/>
    <x v="92"/>
    <x v="0"/>
    <x v="62"/>
    <x v="77"/>
    <x v="0"/>
    <x v="63"/>
    <x v="32"/>
    <x v="53"/>
    <x v="0"/>
    <x v="37"/>
    <x v="0"/>
    <x v="0"/>
  </r>
  <r>
    <x v="114"/>
    <x v="114"/>
    <x v="0"/>
    <x v="0"/>
    <x v="0"/>
    <x v="0"/>
    <x v="2"/>
    <x v="106"/>
    <x v="0"/>
    <x v="32"/>
    <x v="93"/>
    <x v="0"/>
    <x v="63"/>
    <x v="78"/>
    <x v="0"/>
    <x v="64"/>
    <x v="2"/>
    <x v="8"/>
    <x v="0"/>
    <x v="26"/>
    <x v="1"/>
    <x v="1"/>
  </r>
  <r>
    <x v="115"/>
    <x v="115"/>
    <x v="0"/>
    <x v="0"/>
    <x v="0"/>
    <x v="0"/>
    <x v="2"/>
    <x v="107"/>
    <x v="0"/>
    <x v="36"/>
    <x v="94"/>
    <x v="0"/>
    <x v="39"/>
    <x v="45"/>
    <x v="0"/>
    <x v="52"/>
    <x v="29"/>
    <x v="38"/>
    <x v="0"/>
    <x v="49"/>
    <x v="0"/>
    <x v="0"/>
  </r>
  <r>
    <x v="116"/>
    <x v="116"/>
    <x v="0"/>
    <x v="0"/>
    <x v="0"/>
    <x v="0"/>
    <x v="2"/>
    <x v="108"/>
    <x v="0"/>
    <x v="15"/>
    <x v="95"/>
    <x v="0"/>
    <x v="58"/>
    <x v="69"/>
    <x v="0"/>
    <x v="7"/>
    <x v="7"/>
    <x v="6"/>
    <x v="0"/>
    <x v="42"/>
    <x v="1"/>
    <x v="1"/>
  </r>
  <r>
    <x v="117"/>
    <x v="117"/>
    <x v="0"/>
    <x v="0"/>
    <x v="0"/>
    <x v="0"/>
    <x v="2"/>
    <x v="109"/>
    <x v="0"/>
    <x v="79"/>
    <x v="96"/>
    <x v="0"/>
    <x v="64"/>
    <x v="79"/>
    <x v="0"/>
    <x v="65"/>
    <x v="25"/>
    <x v="54"/>
    <x v="0"/>
    <x v="67"/>
    <x v="0"/>
    <x v="0"/>
  </r>
  <r>
    <x v="118"/>
    <x v="118"/>
    <x v="0"/>
    <x v="0"/>
    <x v="0"/>
    <x v="0"/>
    <x v="2"/>
    <x v="110"/>
    <x v="0"/>
    <x v="9"/>
    <x v="97"/>
    <x v="0"/>
    <x v="45"/>
    <x v="54"/>
    <x v="0"/>
    <x v="6"/>
    <x v="6"/>
    <x v="2"/>
    <x v="0"/>
    <x v="29"/>
    <x v="1"/>
    <x v="1"/>
  </r>
  <r>
    <x v="119"/>
    <x v="119"/>
    <x v="0"/>
    <x v="0"/>
    <x v="0"/>
    <x v="0"/>
    <x v="2"/>
    <x v="111"/>
    <x v="1"/>
    <x v="1"/>
    <x v="1"/>
    <x v="1"/>
    <x v="1"/>
    <x v="1"/>
    <x v="1"/>
    <x v="1"/>
    <x v="1"/>
    <x v="1"/>
    <x v="1"/>
    <x v="1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">
  <r>
    <x v="0"/>
    <x v="0"/>
    <x v="0"/>
    <x v="0"/>
    <x v="0"/>
    <x v="0"/>
  </r>
  <r>
    <x v="1"/>
    <x v="1"/>
    <x v="1"/>
    <x v="1"/>
    <x v="1"/>
    <x v="1"/>
  </r>
  <r>
    <x v="2"/>
    <x v="2"/>
    <x v="2"/>
    <x v="2"/>
    <x v="2"/>
    <x v="2"/>
  </r>
  <r>
    <x v="3"/>
    <x v="3"/>
    <x v="3"/>
    <x v="3"/>
    <x v="3"/>
    <x v="3"/>
  </r>
  <r>
    <x v="4"/>
    <x v="4"/>
    <x v="4"/>
    <x v="4"/>
    <x v="4"/>
    <x v="4"/>
  </r>
  <r>
    <x v="5"/>
    <x v="5"/>
    <x v="5"/>
    <x v="5"/>
    <x v="5"/>
    <x v="5"/>
  </r>
  <r>
    <x v="6"/>
    <x v="6"/>
    <x v="6"/>
    <x v="6"/>
    <x v="6"/>
    <x v="6"/>
  </r>
  <r>
    <x v="7"/>
    <x v="4"/>
    <x v="7"/>
    <x v="7"/>
    <x v="7"/>
    <x v="7"/>
  </r>
  <r>
    <x v="8"/>
    <x v="7"/>
    <x v="8"/>
    <x v="8"/>
    <x v="8"/>
    <x v="8"/>
  </r>
  <r>
    <x v="9"/>
    <x v="4"/>
    <x v="9"/>
    <x v="9"/>
    <x v="9"/>
    <x v="9"/>
  </r>
  <r>
    <x v="10"/>
    <x v="8"/>
    <x v="10"/>
    <x v="10"/>
    <x v="10"/>
    <x v="10"/>
  </r>
  <r>
    <x v="11"/>
    <x v="3"/>
    <x v="11"/>
    <x v="11"/>
    <x v="11"/>
    <x v="1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22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"/>
    <x v="2"/>
    <x v="0"/>
    <x v="0"/>
    <x v="0"/>
    <x v="0"/>
    <x v="2"/>
    <x v="2"/>
    <x v="1"/>
    <x v="1"/>
    <x v="1"/>
    <x v="1"/>
    <x v="1"/>
    <x v="1"/>
    <x v="1"/>
    <x v="1"/>
    <x v="1"/>
    <x v="1"/>
    <x v="1"/>
    <x v="1"/>
    <x v="1"/>
    <x v="1"/>
  </r>
  <r>
    <x v="3"/>
    <x v="3"/>
    <x v="0"/>
    <x v="0"/>
    <x v="0"/>
    <x v="0"/>
    <x v="2"/>
    <x v="3"/>
    <x v="0"/>
    <x v="2"/>
    <x v="2"/>
    <x v="0"/>
    <x v="2"/>
    <x v="2"/>
    <x v="0"/>
    <x v="2"/>
    <x v="2"/>
    <x v="2"/>
    <x v="0"/>
    <x v="2"/>
    <x v="0"/>
    <x v="0"/>
  </r>
  <r>
    <x v="4"/>
    <x v="4"/>
    <x v="1"/>
    <x v="0"/>
    <x v="0"/>
    <x v="2"/>
    <x v="0"/>
    <x v="4"/>
    <x v="0"/>
    <x v="3"/>
    <x v="3"/>
    <x v="0"/>
    <x v="3"/>
    <x v="3"/>
    <x v="0"/>
    <x v="3"/>
    <x v="3"/>
    <x v="3"/>
    <x v="0"/>
    <x v="3"/>
    <x v="2"/>
    <x v="2"/>
  </r>
  <r>
    <x v="5"/>
    <x v="5"/>
    <x v="1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"/>
    <x v="6"/>
    <x v="2"/>
    <x v="0"/>
    <x v="0"/>
    <x v="0"/>
    <x v="2"/>
    <x v="5"/>
    <x v="1"/>
    <x v="1"/>
    <x v="1"/>
    <x v="1"/>
    <x v="1"/>
    <x v="1"/>
    <x v="1"/>
    <x v="1"/>
    <x v="1"/>
    <x v="1"/>
    <x v="1"/>
    <x v="1"/>
    <x v="0"/>
    <x v="0"/>
  </r>
  <r>
    <x v="7"/>
    <x v="7"/>
    <x v="3"/>
    <x v="1"/>
    <x v="1"/>
    <x v="0"/>
    <x v="0"/>
    <x v="6"/>
    <x v="0"/>
    <x v="4"/>
    <x v="4"/>
    <x v="0"/>
    <x v="4"/>
    <x v="4"/>
    <x v="0"/>
    <x v="4"/>
    <x v="4"/>
    <x v="4"/>
    <x v="0"/>
    <x v="4"/>
    <x v="0"/>
    <x v="0"/>
  </r>
  <r>
    <x v="8"/>
    <x v="8"/>
    <x v="3"/>
    <x v="1"/>
    <x v="1"/>
    <x v="0"/>
    <x v="2"/>
    <x v="7"/>
    <x v="1"/>
    <x v="1"/>
    <x v="1"/>
    <x v="1"/>
    <x v="1"/>
    <x v="1"/>
    <x v="1"/>
    <x v="1"/>
    <x v="1"/>
    <x v="1"/>
    <x v="1"/>
    <x v="1"/>
    <x v="1"/>
    <x v="1"/>
  </r>
  <r>
    <x v="9"/>
    <x v="9"/>
    <x v="3"/>
    <x v="1"/>
    <x v="1"/>
    <x v="0"/>
    <x v="2"/>
    <x v="8"/>
    <x v="1"/>
    <x v="1"/>
    <x v="1"/>
    <x v="1"/>
    <x v="1"/>
    <x v="1"/>
    <x v="1"/>
    <x v="1"/>
    <x v="1"/>
    <x v="1"/>
    <x v="1"/>
    <x v="1"/>
    <x v="0"/>
    <x v="0"/>
  </r>
  <r>
    <x v="10"/>
    <x v="10"/>
    <x v="4"/>
    <x v="2"/>
    <x v="2"/>
    <x v="0"/>
    <x v="2"/>
    <x v="9"/>
    <x v="0"/>
    <x v="5"/>
    <x v="5"/>
    <x v="0"/>
    <x v="5"/>
    <x v="5"/>
    <x v="0"/>
    <x v="5"/>
    <x v="5"/>
    <x v="5"/>
    <x v="0"/>
    <x v="5"/>
    <x v="0"/>
    <x v="0"/>
  </r>
  <r>
    <x v="11"/>
    <x v="11"/>
    <x v="4"/>
    <x v="2"/>
    <x v="2"/>
    <x v="0"/>
    <x v="2"/>
    <x v="10"/>
    <x v="1"/>
    <x v="1"/>
    <x v="1"/>
    <x v="1"/>
    <x v="1"/>
    <x v="1"/>
    <x v="1"/>
    <x v="1"/>
    <x v="1"/>
    <x v="1"/>
    <x v="1"/>
    <x v="1"/>
    <x v="1"/>
    <x v="1"/>
  </r>
  <r>
    <x v="12"/>
    <x v="12"/>
    <x v="4"/>
    <x v="2"/>
    <x v="2"/>
    <x v="0"/>
    <x v="2"/>
    <x v="11"/>
    <x v="1"/>
    <x v="1"/>
    <x v="1"/>
    <x v="1"/>
    <x v="1"/>
    <x v="1"/>
    <x v="1"/>
    <x v="1"/>
    <x v="1"/>
    <x v="1"/>
    <x v="1"/>
    <x v="1"/>
    <x v="0"/>
    <x v="0"/>
  </r>
  <r>
    <x v="13"/>
    <x v="13"/>
    <x v="5"/>
    <x v="3"/>
    <x v="2"/>
    <x v="0"/>
    <x v="2"/>
    <x v="12"/>
    <x v="0"/>
    <x v="6"/>
    <x v="6"/>
    <x v="0"/>
    <x v="6"/>
    <x v="6"/>
    <x v="0"/>
    <x v="6"/>
    <x v="6"/>
    <x v="2"/>
    <x v="0"/>
    <x v="6"/>
    <x v="0"/>
    <x v="0"/>
  </r>
  <r>
    <x v="14"/>
    <x v="14"/>
    <x v="5"/>
    <x v="3"/>
    <x v="2"/>
    <x v="0"/>
    <x v="2"/>
    <x v="13"/>
    <x v="1"/>
    <x v="1"/>
    <x v="1"/>
    <x v="1"/>
    <x v="1"/>
    <x v="1"/>
    <x v="1"/>
    <x v="1"/>
    <x v="1"/>
    <x v="1"/>
    <x v="1"/>
    <x v="1"/>
    <x v="1"/>
    <x v="1"/>
  </r>
  <r>
    <x v="15"/>
    <x v="15"/>
    <x v="6"/>
    <x v="4"/>
    <x v="0"/>
    <x v="0"/>
    <x v="2"/>
    <x v="14"/>
    <x v="0"/>
    <x v="7"/>
    <x v="7"/>
    <x v="0"/>
    <x v="7"/>
    <x v="7"/>
    <x v="0"/>
    <x v="7"/>
    <x v="7"/>
    <x v="6"/>
    <x v="0"/>
    <x v="7"/>
    <x v="0"/>
    <x v="0"/>
  </r>
  <r>
    <x v="16"/>
    <x v="16"/>
    <x v="6"/>
    <x v="4"/>
    <x v="0"/>
    <x v="0"/>
    <x v="2"/>
    <x v="15"/>
    <x v="1"/>
    <x v="1"/>
    <x v="1"/>
    <x v="1"/>
    <x v="1"/>
    <x v="1"/>
    <x v="1"/>
    <x v="1"/>
    <x v="1"/>
    <x v="1"/>
    <x v="1"/>
    <x v="1"/>
    <x v="0"/>
    <x v="0"/>
  </r>
  <r>
    <x v="17"/>
    <x v="17"/>
    <x v="7"/>
    <x v="4"/>
    <x v="0"/>
    <x v="0"/>
    <x v="2"/>
    <x v="16"/>
    <x v="1"/>
    <x v="1"/>
    <x v="1"/>
    <x v="1"/>
    <x v="1"/>
    <x v="1"/>
    <x v="1"/>
    <x v="1"/>
    <x v="1"/>
    <x v="1"/>
    <x v="1"/>
    <x v="1"/>
    <x v="1"/>
    <x v="1"/>
  </r>
  <r>
    <x v="18"/>
    <x v="18"/>
    <x v="8"/>
    <x v="5"/>
    <x v="3"/>
    <x v="0"/>
    <x v="0"/>
    <x v="17"/>
    <x v="0"/>
    <x v="8"/>
    <x v="8"/>
    <x v="0"/>
    <x v="8"/>
    <x v="8"/>
    <x v="0"/>
    <x v="8"/>
    <x v="8"/>
    <x v="7"/>
    <x v="0"/>
    <x v="8"/>
    <x v="0"/>
    <x v="0"/>
  </r>
  <r>
    <x v="19"/>
    <x v="19"/>
    <x v="8"/>
    <x v="5"/>
    <x v="3"/>
    <x v="0"/>
    <x v="2"/>
    <x v="18"/>
    <x v="1"/>
    <x v="1"/>
    <x v="1"/>
    <x v="1"/>
    <x v="1"/>
    <x v="1"/>
    <x v="1"/>
    <x v="1"/>
    <x v="1"/>
    <x v="1"/>
    <x v="1"/>
    <x v="1"/>
    <x v="0"/>
    <x v="0"/>
  </r>
  <r>
    <x v="20"/>
    <x v="20"/>
    <x v="9"/>
    <x v="6"/>
    <x v="1"/>
    <x v="0"/>
    <x v="2"/>
    <x v="19"/>
    <x v="0"/>
    <x v="9"/>
    <x v="9"/>
    <x v="0"/>
    <x v="9"/>
    <x v="9"/>
    <x v="0"/>
    <x v="9"/>
    <x v="6"/>
    <x v="8"/>
    <x v="0"/>
    <x v="9"/>
    <x v="0"/>
    <x v="0"/>
  </r>
  <r>
    <x v="21"/>
    <x v="21"/>
    <x v="9"/>
    <x v="6"/>
    <x v="1"/>
    <x v="0"/>
    <x v="2"/>
    <x v="20"/>
    <x v="1"/>
    <x v="1"/>
    <x v="1"/>
    <x v="1"/>
    <x v="1"/>
    <x v="1"/>
    <x v="1"/>
    <x v="1"/>
    <x v="1"/>
    <x v="1"/>
    <x v="1"/>
    <x v="1"/>
    <x v="1"/>
    <x v="1"/>
  </r>
  <r>
    <x v="22"/>
    <x v="22"/>
    <x v="10"/>
    <x v="7"/>
    <x v="1"/>
    <x v="2"/>
    <x v="0"/>
    <x v="21"/>
    <x v="0"/>
    <x v="10"/>
    <x v="10"/>
    <x v="0"/>
    <x v="5"/>
    <x v="5"/>
    <x v="0"/>
    <x v="10"/>
    <x v="9"/>
    <x v="0"/>
    <x v="0"/>
    <x v="10"/>
    <x v="2"/>
    <x v="2"/>
  </r>
  <r>
    <x v="23"/>
    <x v="23"/>
    <x v="10"/>
    <x v="7"/>
    <x v="1"/>
    <x v="0"/>
    <x v="2"/>
    <x v="22"/>
    <x v="1"/>
    <x v="1"/>
    <x v="1"/>
    <x v="1"/>
    <x v="1"/>
    <x v="1"/>
    <x v="1"/>
    <x v="1"/>
    <x v="1"/>
    <x v="1"/>
    <x v="1"/>
    <x v="1"/>
    <x v="0"/>
    <x v="0"/>
  </r>
  <r>
    <x v="24"/>
    <x v="24"/>
    <x v="11"/>
    <x v="8"/>
    <x v="4"/>
    <x v="0"/>
    <x v="2"/>
    <x v="23"/>
    <x v="1"/>
    <x v="1"/>
    <x v="1"/>
    <x v="1"/>
    <x v="1"/>
    <x v="1"/>
    <x v="1"/>
    <x v="1"/>
    <x v="1"/>
    <x v="1"/>
    <x v="1"/>
    <x v="1"/>
    <x v="1"/>
    <x v="1"/>
  </r>
  <r>
    <x v="25"/>
    <x v="25"/>
    <x v="12"/>
    <x v="9"/>
    <x v="2"/>
    <x v="3"/>
    <x v="2"/>
    <x v="24"/>
    <x v="0"/>
    <x v="11"/>
    <x v="11"/>
    <x v="0"/>
    <x v="10"/>
    <x v="10"/>
    <x v="0"/>
    <x v="11"/>
    <x v="10"/>
    <x v="9"/>
    <x v="0"/>
    <x v="11"/>
    <x v="2"/>
    <x v="2"/>
  </r>
  <r>
    <x v="26"/>
    <x v="26"/>
    <x v="12"/>
    <x v="9"/>
    <x v="2"/>
    <x v="0"/>
    <x v="2"/>
    <x v="25"/>
    <x v="1"/>
    <x v="1"/>
    <x v="1"/>
    <x v="1"/>
    <x v="1"/>
    <x v="1"/>
    <x v="1"/>
    <x v="1"/>
    <x v="1"/>
    <x v="1"/>
    <x v="1"/>
    <x v="1"/>
    <x v="0"/>
    <x v="0"/>
  </r>
  <r>
    <x v="27"/>
    <x v="27"/>
    <x v="12"/>
    <x v="9"/>
    <x v="2"/>
    <x v="0"/>
    <x v="2"/>
    <x v="26"/>
    <x v="1"/>
    <x v="1"/>
    <x v="1"/>
    <x v="1"/>
    <x v="1"/>
    <x v="1"/>
    <x v="1"/>
    <x v="1"/>
    <x v="1"/>
    <x v="1"/>
    <x v="1"/>
    <x v="1"/>
    <x v="1"/>
    <x v="1"/>
  </r>
  <r>
    <x v="28"/>
    <x v="28"/>
    <x v="13"/>
    <x v="10"/>
    <x v="2"/>
    <x v="0"/>
    <x v="0"/>
    <x v="27"/>
    <x v="0"/>
    <x v="12"/>
    <x v="12"/>
    <x v="0"/>
    <x v="11"/>
    <x v="11"/>
    <x v="0"/>
    <x v="12"/>
    <x v="11"/>
    <x v="10"/>
    <x v="0"/>
    <x v="12"/>
    <x v="0"/>
    <x v="0"/>
  </r>
  <r>
    <x v="29"/>
    <x v="29"/>
    <x v="14"/>
    <x v="10"/>
    <x v="2"/>
    <x v="2"/>
    <x v="2"/>
    <x v="28"/>
    <x v="0"/>
    <x v="13"/>
    <x v="13"/>
    <x v="0"/>
    <x v="12"/>
    <x v="12"/>
    <x v="0"/>
    <x v="13"/>
    <x v="12"/>
    <x v="11"/>
    <x v="0"/>
    <x v="13"/>
    <x v="2"/>
    <x v="2"/>
  </r>
  <r>
    <x v="30"/>
    <x v="30"/>
    <x v="15"/>
    <x v="11"/>
    <x v="1"/>
    <x v="4"/>
    <x v="2"/>
    <x v="29"/>
    <x v="0"/>
    <x v="14"/>
    <x v="14"/>
    <x v="0"/>
    <x v="13"/>
    <x v="13"/>
    <x v="0"/>
    <x v="14"/>
    <x v="7"/>
    <x v="12"/>
    <x v="0"/>
    <x v="14"/>
    <x v="2"/>
    <x v="2"/>
  </r>
  <r>
    <x v="31"/>
    <x v="31"/>
    <x v="16"/>
    <x v="11"/>
    <x v="1"/>
    <x v="2"/>
    <x v="2"/>
    <x v="30"/>
    <x v="1"/>
    <x v="1"/>
    <x v="1"/>
    <x v="1"/>
    <x v="1"/>
    <x v="1"/>
    <x v="1"/>
    <x v="1"/>
    <x v="1"/>
    <x v="1"/>
    <x v="1"/>
    <x v="1"/>
    <x v="2"/>
    <x v="2"/>
  </r>
  <r>
    <x v="32"/>
    <x v="32"/>
    <x v="17"/>
    <x v="12"/>
    <x v="3"/>
    <x v="4"/>
    <x v="2"/>
    <x v="31"/>
    <x v="0"/>
    <x v="15"/>
    <x v="15"/>
    <x v="0"/>
    <x v="10"/>
    <x v="10"/>
    <x v="0"/>
    <x v="15"/>
    <x v="2"/>
    <x v="13"/>
    <x v="0"/>
    <x v="15"/>
    <x v="2"/>
    <x v="2"/>
  </r>
  <r>
    <x v="33"/>
    <x v="33"/>
    <x v="18"/>
    <x v="13"/>
    <x v="3"/>
    <x v="0"/>
    <x v="0"/>
    <x v="32"/>
    <x v="0"/>
    <x v="16"/>
    <x v="16"/>
    <x v="0"/>
    <x v="14"/>
    <x v="14"/>
    <x v="0"/>
    <x v="16"/>
    <x v="6"/>
    <x v="14"/>
    <x v="0"/>
    <x v="16"/>
    <x v="0"/>
    <x v="0"/>
  </r>
  <r>
    <x v="34"/>
    <x v="34"/>
    <x v="19"/>
    <x v="14"/>
    <x v="5"/>
    <x v="0"/>
    <x v="0"/>
    <x v="33"/>
    <x v="0"/>
    <x v="10"/>
    <x v="17"/>
    <x v="0"/>
    <x v="15"/>
    <x v="15"/>
    <x v="0"/>
    <x v="17"/>
    <x v="13"/>
    <x v="15"/>
    <x v="0"/>
    <x v="17"/>
    <x v="0"/>
    <x v="0"/>
  </r>
  <r>
    <x v="35"/>
    <x v="35"/>
    <x v="20"/>
    <x v="15"/>
    <x v="3"/>
    <x v="2"/>
    <x v="2"/>
    <x v="34"/>
    <x v="0"/>
    <x v="17"/>
    <x v="18"/>
    <x v="0"/>
    <x v="2"/>
    <x v="2"/>
    <x v="0"/>
    <x v="18"/>
    <x v="6"/>
    <x v="16"/>
    <x v="0"/>
    <x v="18"/>
    <x v="0"/>
    <x v="0"/>
  </r>
  <r>
    <x v="36"/>
    <x v="36"/>
    <x v="21"/>
    <x v="16"/>
    <x v="1"/>
    <x v="0"/>
    <x v="0"/>
    <x v="35"/>
    <x v="0"/>
    <x v="18"/>
    <x v="19"/>
    <x v="0"/>
    <x v="16"/>
    <x v="16"/>
    <x v="0"/>
    <x v="19"/>
    <x v="14"/>
    <x v="17"/>
    <x v="0"/>
    <x v="19"/>
    <x v="0"/>
    <x v="0"/>
  </r>
  <r>
    <x v="37"/>
    <x v="37"/>
    <x v="22"/>
    <x v="0"/>
    <x v="0"/>
    <x v="2"/>
    <x v="2"/>
    <x v="36"/>
    <x v="0"/>
    <x v="19"/>
    <x v="20"/>
    <x v="0"/>
    <x v="4"/>
    <x v="17"/>
    <x v="0"/>
    <x v="20"/>
    <x v="7"/>
    <x v="18"/>
    <x v="0"/>
    <x v="20"/>
    <x v="0"/>
    <x v="0"/>
  </r>
  <r>
    <x v="38"/>
    <x v="38"/>
    <x v="23"/>
    <x v="2"/>
    <x v="2"/>
    <x v="0"/>
    <x v="0"/>
    <x v="37"/>
    <x v="0"/>
    <x v="20"/>
    <x v="21"/>
    <x v="0"/>
    <x v="17"/>
    <x v="18"/>
    <x v="0"/>
    <x v="21"/>
    <x v="15"/>
    <x v="19"/>
    <x v="0"/>
    <x v="21"/>
    <x v="0"/>
    <x v="0"/>
  </r>
  <r>
    <x v="39"/>
    <x v="39"/>
    <x v="24"/>
    <x v="3"/>
    <x v="2"/>
    <x v="0"/>
    <x v="2"/>
    <x v="38"/>
    <x v="0"/>
    <x v="4"/>
    <x v="22"/>
    <x v="0"/>
    <x v="18"/>
    <x v="19"/>
    <x v="0"/>
    <x v="22"/>
    <x v="5"/>
    <x v="8"/>
    <x v="0"/>
    <x v="22"/>
    <x v="0"/>
    <x v="0"/>
  </r>
  <r>
    <x v="40"/>
    <x v="40"/>
    <x v="25"/>
    <x v="4"/>
    <x v="0"/>
    <x v="0"/>
    <x v="2"/>
    <x v="39"/>
    <x v="0"/>
    <x v="21"/>
    <x v="23"/>
    <x v="0"/>
    <x v="19"/>
    <x v="20"/>
    <x v="0"/>
    <x v="23"/>
    <x v="4"/>
    <x v="20"/>
    <x v="0"/>
    <x v="6"/>
    <x v="0"/>
    <x v="0"/>
  </r>
  <r>
    <x v="41"/>
    <x v="41"/>
    <x v="26"/>
    <x v="17"/>
    <x v="1"/>
    <x v="0"/>
    <x v="2"/>
    <x v="40"/>
    <x v="0"/>
    <x v="22"/>
    <x v="24"/>
    <x v="0"/>
    <x v="20"/>
    <x v="21"/>
    <x v="0"/>
    <x v="15"/>
    <x v="2"/>
    <x v="13"/>
    <x v="0"/>
    <x v="23"/>
    <x v="1"/>
    <x v="1"/>
  </r>
  <r>
    <x v="42"/>
    <x v="42"/>
    <x v="27"/>
    <x v="17"/>
    <x v="1"/>
    <x v="0"/>
    <x v="0"/>
    <x v="41"/>
    <x v="0"/>
    <x v="23"/>
    <x v="25"/>
    <x v="0"/>
    <x v="21"/>
    <x v="22"/>
    <x v="0"/>
    <x v="24"/>
    <x v="16"/>
    <x v="21"/>
    <x v="0"/>
    <x v="10"/>
    <x v="0"/>
    <x v="0"/>
  </r>
  <r>
    <x v="43"/>
    <x v="43"/>
    <x v="28"/>
    <x v="18"/>
    <x v="2"/>
    <x v="4"/>
    <x v="2"/>
    <x v="42"/>
    <x v="0"/>
    <x v="18"/>
    <x v="26"/>
    <x v="0"/>
    <x v="16"/>
    <x v="23"/>
    <x v="0"/>
    <x v="25"/>
    <x v="17"/>
    <x v="22"/>
    <x v="0"/>
    <x v="24"/>
    <x v="0"/>
    <x v="0"/>
  </r>
  <r>
    <x v="44"/>
    <x v="44"/>
    <x v="29"/>
    <x v="8"/>
    <x v="4"/>
    <x v="2"/>
    <x v="0"/>
    <x v="43"/>
    <x v="0"/>
    <x v="24"/>
    <x v="27"/>
    <x v="0"/>
    <x v="7"/>
    <x v="24"/>
    <x v="0"/>
    <x v="10"/>
    <x v="18"/>
    <x v="23"/>
    <x v="0"/>
    <x v="25"/>
    <x v="0"/>
    <x v="0"/>
  </r>
  <r>
    <x v="45"/>
    <x v="45"/>
    <x v="30"/>
    <x v="19"/>
    <x v="4"/>
    <x v="2"/>
    <x v="2"/>
    <x v="44"/>
    <x v="0"/>
    <x v="10"/>
    <x v="28"/>
    <x v="0"/>
    <x v="22"/>
    <x v="25"/>
    <x v="0"/>
    <x v="26"/>
    <x v="18"/>
    <x v="8"/>
    <x v="0"/>
    <x v="18"/>
    <x v="0"/>
    <x v="0"/>
  </r>
  <r>
    <x v="46"/>
    <x v="46"/>
    <x v="31"/>
    <x v="0"/>
    <x v="0"/>
    <x v="0"/>
    <x v="2"/>
    <x v="45"/>
    <x v="0"/>
    <x v="25"/>
    <x v="29"/>
    <x v="0"/>
    <x v="23"/>
    <x v="26"/>
    <x v="0"/>
    <x v="27"/>
    <x v="9"/>
    <x v="24"/>
    <x v="0"/>
    <x v="26"/>
    <x v="0"/>
    <x v="0"/>
  </r>
  <r>
    <x v="47"/>
    <x v="47"/>
    <x v="32"/>
    <x v="6"/>
    <x v="1"/>
    <x v="0"/>
    <x v="2"/>
    <x v="46"/>
    <x v="0"/>
    <x v="26"/>
    <x v="30"/>
    <x v="0"/>
    <x v="7"/>
    <x v="27"/>
    <x v="0"/>
    <x v="28"/>
    <x v="7"/>
    <x v="25"/>
    <x v="0"/>
    <x v="27"/>
    <x v="1"/>
    <x v="1"/>
  </r>
  <r>
    <x v="48"/>
    <x v="48"/>
    <x v="33"/>
    <x v="6"/>
    <x v="1"/>
    <x v="2"/>
    <x v="2"/>
    <x v="47"/>
    <x v="0"/>
    <x v="27"/>
    <x v="31"/>
    <x v="0"/>
    <x v="24"/>
    <x v="28"/>
    <x v="0"/>
    <x v="29"/>
    <x v="19"/>
    <x v="26"/>
    <x v="0"/>
    <x v="28"/>
    <x v="0"/>
    <x v="0"/>
  </r>
  <r>
    <x v="49"/>
    <x v="49"/>
    <x v="34"/>
    <x v="0"/>
    <x v="0"/>
    <x v="0"/>
    <x v="2"/>
    <x v="48"/>
    <x v="0"/>
    <x v="28"/>
    <x v="32"/>
    <x v="0"/>
    <x v="25"/>
    <x v="29"/>
    <x v="0"/>
    <x v="30"/>
    <x v="5"/>
    <x v="2"/>
    <x v="0"/>
    <x v="29"/>
    <x v="1"/>
    <x v="1"/>
  </r>
  <r>
    <x v="50"/>
    <x v="50"/>
    <x v="0"/>
    <x v="0"/>
    <x v="0"/>
    <x v="0"/>
    <x v="2"/>
    <x v="49"/>
    <x v="0"/>
    <x v="29"/>
    <x v="33"/>
    <x v="0"/>
    <x v="26"/>
    <x v="30"/>
    <x v="0"/>
    <x v="31"/>
    <x v="3"/>
    <x v="15"/>
    <x v="0"/>
    <x v="30"/>
    <x v="0"/>
    <x v="0"/>
  </r>
  <r>
    <x v="51"/>
    <x v="51"/>
    <x v="0"/>
    <x v="0"/>
    <x v="0"/>
    <x v="0"/>
    <x v="0"/>
    <x v="50"/>
    <x v="0"/>
    <x v="30"/>
    <x v="34"/>
    <x v="0"/>
    <x v="27"/>
    <x v="31"/>
    <x v="0"/>
    <x v="32"/>
    <x v="20"/>
    <x v="27"/>
    <x v="0"/>
    <x v="31"/>
    <x v="1"/>
    <x v="1"/>
  </r>
  <r>
    <x v="52"/>
    <x v="52"/>
    <x v="0"/>
    <x v="0"/>
    <x v="0"/>
    <x v="0"/>
    <x v="2"/>
    <x v="51"/>
    <x v="0"/>
    <x v="31"/>
    <x v="35"/>
    <x v="0"/>
    <x v="28"/>
    <x v="32"/>
    <x v="0"/>
    <x v="4"/>
    <x v="13"/>
    <x v="8"/>
    <x v="0"/>
    <x v="32"/>
    <x v="0"/>
    <x v="0"/>
  </r>
  <r>
    <x v="53"/>
    <x v="53"/>
    <x v="1"/>
    <x v="0"/>
    <x v="0"/>
    <x v="0"/>
    <x v="2"/>
    <x v="52"/>
    <x v="0"/>
    <x v="32"/>
    <x v="36"/>
    <x v="0"/>
    <x v="9"/>
    <x v="33"/>
    <x v="0"/>
    <x v="33"/>
    <x v="18"/>
    <x v="28"/>
    <x v="0"/>
    <x v="33"/>
    <x v="1"/>
    <x v="1"/>
  </r>
  <r>
    <x v="54"/>
    <x v="54"/>
    <x v="1"/>
    <x v="0"/>
    <x v="0"/>
    <x v="0"/>
    <x v="0"/>
    <x v="53"/>
    <x v="0"/>
    <x v="26"/>
    <x v="37"/>
    <x v="0"/>
    <x v="29"/>
    <x v="34"/>
    <x v="0"/>
    <x v="34"/>
    <x v="21"/>
    <x v="29"/>
    <x v="0"/>
    <x v="34"/>
    <x v="0"/>
    <x v="0"/>
  </r>
  <r>
    <x v="55"/>
    <x v="55"/>
    <x v="4"/>
    <x v="2"/>
    <x v="2"/>
    <x v="0"/>
    <x v="2"/>
    <x v="54"/>
    <x v="0"/>
    <x v="33"/>
    <x v="38"/>
    <x v="0"/>
    <x v="13"/>
    <x v="35"/>
    <x v="0"/>
    <x v="35"/>
    <x v="22"/>
    <x v="30"/>
    <x v="0"/>
    <x v="35"/>
    <x v="1"/>
    <x v="1"/>
  </r>
  <r>
    <x v="56"/>
    <x v="56"/>
    <x v="4"/>
    <x v="2"/>
    <x v="2"/>
    <x v="0"/>
    <x v="2"/>
    <x v="55"/>
    <x v="0"/>
    <x v="34"/>
    <x v="39"/>
    <x v="0"/>
    <x v="30"/>
    <x v="36"/>
    <x v="0"/>
    <x v="36"/>
    <x v="4"/>
    <x v="31"/>
    <x v="0"/>
    <x v="0"/>
    <x v="0"/>
    <x v="0"/>
  </r>
  <r>
    <x v="57"/>
    <x v="57"/>
    <x v="4"/>
    <x v="2"/>
    <x v="2"/>
    <x v="0"/>
    <x v="2"/>
    <x v="56"/>
    <x v="0"/>
    <x v="35"/>
    <x v="40"/>
    <x v="0"/>
    <x v="2"/>
    <x v="2"/>
    <x v="0"/>
    <x v="5"/>
    <x v="5"/>
    <x v="5"/>
    <x v="0"/>
    <x v="36"/>
    <x v="1"/>
    <x v="1"/>
  </r>
  <r>
    <x v="58"/>
    <x v="58"/>
    <x v="5"/>
    <x v="3"/>
    <x v="2"/>
    <x v="0"/>
    <x v="2"/>
    <x v="18"/>
    <x v="0"/>
    <x v="36"/>
    <x v="41"/>
    <x v="0"/>
    <x v="31"/>
    <x v="37"/>
    <x v="0"/>
    <x v="37"/>
    <x v="19"/>
    <x v="7"/>
    <x v="0"/>
    <x v="37"/>
    <x v="0"/>
    <x v="0"/>
  </r>
  <r>
    <x v="59"/>
    <x v="59"/>
    <x v="5"/>
    <x v="3"/>
    <x v="2"/>
    <x v="0"/>
    <x v="2"/>
    <x v="57"/>
    <x v="0"/>
    <x v="37"/>
    <x v="42"/>
    <x v="0"/>
    <x v="32"/>
    <x v="38"/>
    <x v="0"/>
    <x v="14"/>
    <x v="7"/>
    <x v="12"/>
    <x v="0"/>
    <x v="38"/>
    <x v="1"/>
    <x v="1"/>
  </r>
  <r>
    <x v="60"/>
    <x v="60"/>
    <x v="6"/>
    <x v="4"/>
    <x v="0"/>
    <x v="0"/>
    <x v="0"/>
    <x v="58"/>
    <x v="0"/>
    <x v="38"/>
    <x v="43"/>
    <x v="0"/>
    <x v="33"/>
    <x v="39"/>
    <x v="0"/>
    <x v="38"/>
    <x v="23"/>
    <x v="32"/>
    <x v="0"/>
    <x v="39"/>
    <x v="0"/>
    <x v="0"/>
  </r>
  <r>
    <x v="61"/>
    <x v="61"/>
    <x v="6"/>
    <x v="4"/>
    <x v="0"/>
    <x v="0"/>
    <x v="2"/>
    <x v="59"/>
    <x v="0"/>
    <x v="39"/>
    <x v="44"/>
    <x v="0"/>
    <x v="5"/>
    <x v="5"/>
    <x v="0"/>
    <x v="39"/>
    <x v="22"/>
    <x v="6"/>
    <x v="0"/>
    <x v="40"/>
    <x v="1"/>
    <x v="1"/>
  </r>
  <r>
    <x v="62"/>
    <x v="62"/>
    <x v="8"/>
    <x v="5"/>
    <x v="3"/>
    <x v="0"/>
    <x v="2"/>
    <x v="26"/>
    <x v="0"/>
    <x v="40"/>
    <x v="45"/>
    <x v="0"/>
    <x v="34"/>
    <x v="40"/>
    <x v="0"/>
    <x v="31"/>
    <x v="24"/>
    <x v="33"/>
    <x v="0"/>
    <x v="41"/>
    <x v="0"/>
    <x v="0"/>
  </r>
  <r>
    <x v="63"/>
    <x v="63"/>
    <x v="8"/>
    <x v="5"/>
    <x v="3"/>
    <x v="0"/>
    <x v="2"/>
    <x v="60"/>
    <x v="0"/>
    <x v="41"/>
    <x v="46"/>
    <x v="0"/>
    <x v="35"/>
    <x v="41"/>
    <x v="0"/>
    <x v="6"/>
    <x v="6"/>
    <x v="2"/>
    <x v="0"/>
    <x v="42"/>
    <x v="1"/>
    <x v="1"/>
  </r>
  <r>
    <x v="64"/>
    <x v="64"/>
    <x v="3"/>
    <x v="1"/>
    <x v="1"/>
    <x v="0"/>
    <x v="0"/>
    <x v="61"/>
    <x v="0"/>
    <x v="22"/>
    <x v="47"/>
    <x v="0"/>
    <x v="36"/>
    <x v="42"/>
    <x v="0"/>
    <x v="33"/>
    <x v="18"/>
    <x v="28"/>
    <x v="0"/>
    <x v="38"/>
    <x v="0"/>
    <x v="0"/>
  </r>
  <r>
    <x v="65"/>
    <x v="65"/>
    <x v="3"/>
    <x v="1"/>
    <x v="1"/>
    <x v="0"/>
    <x v="2"/>
    <x v="62"/>
    <x v="0"/>
    <x v="42"/>
    <x v="48"/>
    <x v="0"/>
    <x v="10"/>
    <x v="10"/>
    <x v="0"/>
    <x v="7"/>
    <x v="7"/>
    <x v="6"/>
    <x v="0"/>
    <x v="7"/>
    <x v="1"/>
    <x v="1"/>
  </r>
  <r>
    <x v="66"/>
    <x v="66"/>
    <x v="12"/>
    <x v="9"/>
    <x v="2"/>
    <x v="0"/>
    <x v="2"/>
    <x v="63"/>
    <x v="0"/>
    <x v="43"/>
    <x v="49"/>
    <x v="0"/>
    <x v="37"/>
    <x v="43"/>
    <x v="0"/>
    <x v="40"/>
    <x v="25"/>
    <x v="34"/>
    <x v="0"/>
    <x v="43"/>
    <x v="0"/>
    <x v="0"/>
  </r>
  <r>
    <x v="67"/>
    <x v="67"/>
    <x v="12"/>
    <x v="9"/>
    <x v="2"/>
    <x v="0"/>
    <x v="2"/>
    <x v="64"/>
    <x v="0"/>
    <x v="44"/>
    <x v="50"/>
    <x v="0"/>
    <x v="38"/>
    <x v="44"/>
    <x v="0"/>
    <x v="18"/>
    <x v="6"/>
    <x v="16"/>
    <x v="0"/>
    <x v="44"/>
    <x v="1"/>
    <x v="1"/>
  </r>
  <r>
    <x v="68"/>
    <x v="68"/>
    <x v="35"/>
    <x v="6"/>
    <x v="1"/>
    <x v="2"/>
    <x v="2"/>
    <x v="65"/>
    <x v="0"/>
    <x v="45"/>
    <x v="51"/>
    <x v="0"/>
    <x v="39"/>
    <x v="45"/>
    <x v="0"/>
    <x v="41"/>
    <x v="26"/>
    <x v="35"/>
    <x v="0"/>
    <x v="13"/>
    <x v="2"/>
    <x v="2"/>
  </r>
  <r>
    <x v="69"/>
    <x v="69"/>
    <x v="36"/>
    <x v="6"/>
    <x v="1"/>
    <x v="2"/>
    <x v="2"/>
    <x v="66"/>
    <x v="0"/>
    <x v="46"/>
    <x v="52"/>
    <x v="0"/>
    <x v="26"/>
    <x v="30"/>
    <x v="0"/>
    <x v="42"/>
    <x v="27"/>
    <x v="36"/>
    <x v="0"/>
    <x v="45"/>
    <x v="1"/>
    <x v="1"/>
  </r>
  <r>
    <x v="70"/>
    <x v="70"/>
    <x v="37"/>
    <x v="6"/>
    <x v="1"/>
    <x v="2"/>
    <x v="0"/>
    <x v="67"/>
    <x v="0"/>
    <x v="47"/>
    <x v="53"/>
    <x v="0"/>
    <x v="40"/>
    <x v="46"/>
    <x v="0"/>
    <x v="43"/>
    <x v="4"/>
    <x v="37"/>
    <x v="0"/>
    <x v="46"/>
    <x v="0"/>
    <x v="0"/>
  </r>
  <r>
    <x v="71"/>
    <x v="71"/>
    <x v="38"/>
    <x v="6"/>
    <x v="1"/>
    <x v="2"/>
    <x v="2"/>
    <x v="68"/>
    <x v="0"/>
    <x v="48"/>
    <x v="54"/>
    <x v="0"/>
    <x v="9"/>
    <x v="33"/>
    <x v="0"/>
    <x v="44"/>
    <x v="22"/>
    <x v="38"/>
    <x v="0"/>
    <x v="47"/>
    <x v="0"/>
    <x v="0"/>
  </r>
  <r>
    <x v="72"/>
    <x v="72"/>
    <x v="39"/>
    <x v="7"/>
    <x v="1"/>
    <x v="2"/>
    <x v="0"/>
    <x v="69"/>
    <x v="0"/>
    <x v="49"/>
    <x v="55"/>
    <x v="0"/>
    <x v="41"/>
    <x v="47"/>
    <x v="0"/>
    <x v="45"/>
    <x v="28"/>
    <x v="39"/>
    <x v="0"/>
    <x v="48"/>
    <x v="2"/>
    <x v="2"/>
  </r>
  <r>
    <x v="73"/>
    <x v="73"/>
    <x v="40"/>
    <x v="7"/>
    <x v="1"/>
    <x v="2"/>
    <x v="2"/>
    <x v="70"/>
    <x v="0"/>
    <x v="50"/>
    <x v="56"/>
    <x v="0"/>
    <x v="42"/>
    <x v="48"/>
    <x v="0"/>
    <x v="46"/>
    <x v="7"/>
    <x v="8"/>
    <x v="0"/>
    <x v="5"/>
    <x v="1"/>
    <x v="1"/>
  </r>
  <r>
    <x v="74"/>
    <x v="74"/>
    <x v="41"/>
    <x v="7"/>
    <x v="1"/>
    <x v="2"/>
    <x v="2"/>
    <x v="71"/>
    <x v="0"/>
    <x v="51"/>
    <x v="57"/>
    <x v="0"/>
    <x v="9"/>
    <x v="49"/>
    <x v="0"/>
    <x v="47"/>
    <x v="9"/>
    <x v="8"/>
    <x v="0"/>
    <x v="40"/>
    <x v="0"/>
    <x v="0"/>
  </r>
  <r>
    <x v="75"/>
    <x v="75"/>
    <x v="42"/>
    <x v="8"/>
    <x v="4"/>
    <x v="0"/>
    <x v="2"/>
    <x v="72"/>
    <x v="0"/>
    <x v="52"/>
    <x v="58"/>
    <x v="0"/>
    <x v="20"/>
    <x v="50"/>
    <x v="0"/>
    <x v="22"/>
    <x v="5"/>
    <x v="8"/>
    <x v="0"/>
    <x v="49"/>
    <x v="1"/>
    <x v="1"/>
  </r>
  <r>
    <x v="76"/>
    <x v="76"/>
    <x v="43"/>
    <x v="8"/>
    <x v="4"/>
    <x v="0"/>
    <x v="0"/>
    <x v="73"/>
    <x v="0"/>
    <x v="40"/>
    <x v="45"/>
    <x v="0"/>
    <x v="43"/>
    <x v="51"/>
    <x v="0"/>
    <x v="48"/>
    <x v="29"/>
    <x v="14"/>
    <x v="0"/>
    <x v="10"/>
    <x v="0"/>
    <x v="0"/>
  </r>
  <r>
    <x v="77"/>
    <x v="77"/>
    <x v="44"/>
    <x v="2"/>
    <x v="2"/>
    <x v="2"/>
    <x v="2"/>
    <x v="74"/>
    <x v="0"/>
    <x v="9"/>
    <x v="59"/>
    <x v="0"/>
    <x v="4"/>
    <x v="52"/>
    <x v="0"/>
    <x v="49"/>
    <x v="9"/>
    <x v="40"/>
    <x v="0"/>
    <x v="50"/>
    <x v="0"/>
    <x v="0"/>
  </r>
  <r>
    <x v="78"/>
    <x v="78"/>
    <x v="45"/>
    <x v="2"/>
    <x v="2"/>
    <x v="0"/>
    <x v="0"/>
    <x v="75"/>
    <x v="0"/>
    <x v="53"/>
    <x v="60"/>
    <x v="0"/>
    <x v="44"/>
    <x v="53"/>
    <x v="0"/>
    <x v="50"/>
    <x v="8"/>
    <x v="41"/>
    <x v="0"/>
    <x v="51"/>
    <x v="0"/>
    <x v="0"/>
  </r>
  <r>
    <x v="79"/>
    <x v="79"/>
    <x v="46"/>
    <x v="3"/>
    <x v="2"/>
    <x v="2"/>
    <x v="2"/>
    <x v="76"/>
    <x v="0"/>
    <x v="54"/>
    <x v="61"/>
    <x v="0"/>
    <x v="45"/>
    <x v="54"/>
    <x v="0"/>
    <x v="28"/>
    <x v="7"/>
    <x v="25"/>
    <x v="0"/>
    <x v="27"/>
    <x v="1"/>
    <x v="1"/>
  </r>
  <r>
    <x v="80"/>
    <x v="80"/>
    <x v="47"/>
    <x v="3"/>
    <x v="2"/>
    <x v="0"/>
    <x v="2"/>
    <x v="77"/>
    <x v="0"/>
    <x v="55"/>
    <x v="62"/>
    <x v="0"/>
    <x v="23"/>
    <x v="55"/>
    <x v="0"/>
    <x v="51"/>
    <x v="16"/>
    <x v="42"/>
    <x v="0"/>
    <x v="52"/>
    <x v="0"/>
    <x v="0"/>
  </r>
  <r>
    <x v="81"/>
    <x v="81"/>
    <x v="48"/>
    <x v="4"/>
    <x v="0"/>
    <x v="2"/>
    <x v="2"/>
    <x v="78"/>
    <x v="0"/>
    <x v="56"/>
    <x v="63"/>
    <x v="0"/>
    <x v="46"/>
    <x v="56"/>
    <x v="0"/>
    <x v="30"/>
    <x v="5"/>
    <x v="2"/>
    <x v="0"/>
    <x v="29"/>
    <x v="0"/>
    <x v="0"/>
  </r>
  <r>
    <x v="82"/>
    <x v="82"/>
    <x v="49"/>
    <x v="4"/>
    <x v="0"/>
    <x v="0"/>
    <x v="2"/>
    <x v="79"/>
    <x v="0"/>
    <x v="57"/>
    <x v="64"/>
    <x v="0"/>
    <x v="22"/>
    <x v="25"/>
    <x v="0"/>
    <x v="52"/>
    <x v="29"/>
    <x v="38"/>
    <x v="0"/>
    <x v="53"/>
    <x v="0"/>
    <x v="0"/>
  </r>
  <r>
    <x v="83"/>
    <x v="83"/>
    <x v="50"/>
    <x v="5"/>
    <x v="3"/>
    <x v="0"/>
    <x v="2"/>
    <x v="80"/>
    <x v="0"/>
    <x v="58"/>
    <x v="65"/>
    <x v="0"/>
    <x v="47"/>
    <x v="57"/>
    <x v="0"/>
    <x v="53"/>
    <x v="20"/>
    <x v="43"/>
    <x v="0"/>
    <x v="52"/>
    <x v="1"/>
    <x v="1"/>
  </r>
  <r>
    <x v="84"/>
    <x v="84"/>
    <x v="51"/>
    <x v="5"/>
    <x v="3"/>
    <x v="2"/>
    <x v="2"/>
    <x v="81"/>
    <x v="0"/>
    <x v="59"/>
    <x v="6"/>
    <x v="0"/>
    <x v="13"/>
    <x v="13"/>
    <x v="0"/>
    <x v="10"/>
    <x v="18"/>
    <x v="23"/>
    <x v="0"/>
    <x v="54"/>
    <x v="0"/>
    <x v="0"/>
  </r>
  <r>
    <x v="85"/>
    <x v="85"/>
    <x v="52"/>
    <x v="5"/>
    <x v="3"/>
    <x v="0"/>
    <x v="2"/>
    <x v="20"/>
    <x v="0"/>
    <x v="60"/>
    <x v="66"/>
    <x v="0"/>
    <x v="48"/>
    <x v="58"/>
    <x v="0"/>
    <x v="6"/>
    <x v="6"/>
    <x v="2"/>
    <x v="0"/>
    <x v="55"/>
    <x v="1"/>
    <x v="1"/>
  </r>
  <r>
    <x v="86"/>
    <x v="86"/>
    <x v="53"/>
    <x v="17"/>
    <x v="1"/>
    <x v="0"/>
    <x v="0"/>
    <x v="82"/>
    <x v="0"/>
    <x v="61"/>
    <x v="67"/>
    <x v="0"/>
    <x v="49"/>
    <x v="59"/>
    <x v="0"/>
    <x v="54"/>
    <x v="25"/>
    <x v="44"/>
    <x v="0"/>
    <x v="56"/>
    <x v="0"/>
    <x v="0"/>
  </r>
  <r>
    <x v="87"/>
    <x v="87"/>
    <x v="54"/>
    <x v="17"/>
    <x v="1"/>
    <x v="0"/>
    <x v="2"/>
    <x v="83"/>
    <x v="0"/>
    <x v="62"/>
    <x v="68"/>
    <x v="0"/>
    <x v="50"/>
    <x v="60"/>
    <x v="0"/>
    <x v="16"/>
    <x v="6"/>
    <x v="14"/>
    <x v="0"/>
    <x v="18"/>
    <x v="1"/>
    <x v="1"/>
  </r>
  <r>
    <x v="88"/>
    <x v="88"/>
    <x v="55"/>
    <x v="15"/>
    <x v="3"/>
    <x v="0"/>
    <x v="2"/>
    <x v="84"/>
    <x v="0"/>
    <x v="63"/>
    <x v="69"/>
    <x v="0"/>
    <x v="51"/>
    <x v="61"/>
    <x v="0"/>
    <x v="55"/>
    <x v="30"/>
    <x v="45"/>
    <x v="0"/>
    <x v="57"/>
    <x v="0"/>
    <x v="0"/>
  </r>
  <r>
    <x v="89"/>
    <x v="89"/>
    <x v="56"/>
    <x v="15"/>
    <x v="3"/>
    <x v="0"/>
    <x v="2"/>
    <x v="85"/>
    <x v="0"/>
    <x v="64"/>
    <x v="70"/>
    <x v="0"/>
    <x v="52"/>
    <x v="62"/>
    <x v="0"/>
    <x v="25"/>
    <x v="17"/>
    <x v="22"/>
    <x v="0"/>
    <x v="17"/>
    <x v="1"/>
    <x v="1"/>
  </r>
  <r>
    <x v="90"/>
    <x v="90"/>
    <x v="57"/>
    <x v="10"/>
    <x v="2"/>
    <x v="0"/>
    <x v="2"/>
    <x v="86"/>
    <x v="0"/>
    <x v="25"/>
    <x v="71"/>
    <x v="0"/>
    <x v="52"/>
    <x v="63"/>
    <x v="0"/>
    <x v="25"/>
    <x v="17"/>
    <x v="22"/>
    <x v="0"/>
    <x v="58"/>
    <x v="0"/>
    <x v="0"/>
  </r>
  <r>
    <x v="91"/>
    <x v="91"/>
    <x v="58"/>
    <x v="10"/>
    <x v="2"/>
    <x v="0"/>
    <x v="2"/>
    <x v="87"/>
    <x v="0"/>
    <x v="65"/>
    <x v="72"/>
    <x v="0"/>
    <x v="53"/>
    <x v="64"/>
    <x v="0"/>
    <x v="42"/>
    <x v="27"/>
    <x v="36"/>
    <x v="0"/>
    <x v="58"/>
    <x v="1"/>
    <x v="1"/>
  </r>
  <r>
    <x v="92"/>
    <x v="92"/>
    <x v="59"/>
    <x v="20"/>
    <x v="1"/>
    <x v="2"/>
    <x v="0"/>
    <x v="88"/>
    <x v="0"/>
    <x v="0"/>
    <x v="73"/>
    <x v="0"/>
    <x v="54"/>
    <x v="65"/>
    <x v="0"/>
    <x v="56"/>
    <x v="3"/>
    <x v="46"/>
    <x v="0"/>
    <x v="59"/>
    <x v="0"/>
    <x v="0"/>
  </r>
  <r>
    <x v="93"/>
    <x v="93"/>
    <x v="59"/>
    <x v="20"/>
    <x v="1"/>
    <x v="0"/>
    <x v="1"/>
    <x v="1"/>
    <x v="1"/>
    <x v="1"/>
    <x v="1"/>
    <x v="1"/>
    <x v="1"/>
    <x v="1"/>
    <x v="1"/>
    <x v="1"/>
    <x v="1"/>
    <x v="1"/>
    <x v="1"/>
    <x v="1"/>
    <x v="0"/>
    <x v="0"/>
  </r>
  <r>
    <x v="94"/>
    <x v="94"/>
    <x v="60"/>
    <x v="21"/>
    <x v="0"/>
    <x v="0"/>
    <x v="2"/>
    <x v="89"/>
    <x v="0"/>
    <x v="50"/>
    <x v="74"/>
    <x v="0"/>
    <x v="16"/>
    <x v="23"/>
    <x v="0"/>
    <x v="39"/>
    <x v="22"/>
    <x v="6"/>
    <x v="0"/>
    <x v="11"/>
    <x v="1"/>
    <x v="1"/>
  </r>
  <r>
    <x v="95"/>
    <x v="95"/>
    <x v="61"/>
    <x v="22"/>
    <x v="1"/>
    <x v="0"/>
    <x v="2"/>
    <x v="90"/>
    <x v="0"/>
    <x v="66"/>
    <x v="75"/>
    <x v="0"/>
    <x v="55"/>
    <x v="66"/>
    <x v="0"/>
    <x v="57"/>
    <x v="19"/>
    <x v="47"/>
    <x v="0"/>
    <x v="60"/>
    <x v="0"/>
    <x v="0"/>
  </r>
  <r>
    <x v="96"/>
    <x v="96"/>
    <x v="62"/>
    <x v="16"/>
    <x v="1"/>
    <x v="0"/>
    <x v="2"/>
    <x v="91"/>
    <x v="0"/>
    <x v="67"/>
    <x v="76"/>
    <x v="0"/>
    <x v="2"/>
    <x v="2"/>
    <x v="0"/>
    <x v="7"/>
    <x v="7"/>
    <x v="6"/>
    <x v="0"/>
    <x v="16"/>
    <x v="1"/>
    <x v="1"/>
  </r>
  <r>
    <x v="97"/>
    <x v="97"/>
    <x v="62"/>
    <x v="16"/>
    <x v="1"/>
    <x v="0"/>
    <x v="2"/>
    <x v="49"/>
    <x v="0"/>
    <x v="68"/>
    <x v="77"/>
    <x v="0"/>
    <x v="20"/>
    <x v="50"/>
    <x v="0"/>
    <x v="58"/>
    <x v="17"/>
    <x v="48"/>
    <x v="0"/>
    <x v="44"/>
    <x v="0"/>
    <x v="0"/>
  </r>
  <r>
    <x v="98"/>
    <x v="98"/>
    <x v="63"/>
    <x v="23"/>
    <x v="5"/>
    <x v="0"/>
    <x v="2"/>
    <x v="92"/>
    <x v="0"/>
    <x v="69"/>
    <x v="78"/>
    <x v="0"/>
    <x v="56"/>
    <x v="67"/>
    <x v="0"/>
    <x v="18"/>
    <x v="6"/>
    <x v="16"/>
    <x v="0"/>
    <x v="7"/>
    <x v="1"/>
    <x v="1"/>
  </r>
  <r>
    <x v="99"/>
    <x v="99"/>
    <x v="64"/>
    <x v="24"/>
    <x v="5"/>
    <x v="0"/>
    <x v="2"/>
    <x v="93"/>
    <x v="0"/>
    <x v="43"/>
    <x v="79"/>
    <x v="0"/>
    <x v="57"/>
    <x v="68"/>
    <x v="0"/>
    <x v="59"/>
    <x v="21"/>
    <x v="42"/>
    <x v="0"/>
    <x v="61"/>
    <x v="0"/>
    <x v="0"/>
  </r>
  <r>
    <x v="100"/>
    <x v="100"/>
    <x v="65"/>
    <x v="25"/>
    <x v="5"/>
    <x v="0"/>
    <x v="2"/>
    <x v="94"/>
    <x v="0"/>
    <x v="70"/>
    <x v="80"/>
    <x v="0"/>
    <x v="35"/>
    <x v="41"/>
    <x v="0"/>
    <x v="14"/>
    <x v="7"/>
    <x v="12"/>
    <x v="0"/>
    <x v="6"/>
    <x v="1"/>
    <x v="1"/>
  </r>
  <r>
    <x v="101"/>
    <x v="101"/>
    <x v="66"/>
    <x v="26"/>
    <x v="5"/>
    <x v="0"/>
    <x v="2"/>
    <x v="95"/>
    <x v="0"/>
    <x v="71"/>
    <x v="81"/>
    <x v="0"/>
    <x v="58"/>
    <x v="69"/>
    <x v="0"/>
    <x v="16"/>
    <x v="6"/>
    <x v="14"/>
    <x v="0"/>
    <x v="55"/>
    <x v="0"/>
    <x v="0"/>
  </r>
  <r>
    <x v="102"/>
    <x v="102"/>
    <x v="67"/>
    <x v="27"/>
    <x v="5"/>
    <x v="0"/>
    <x v="2"/>
    <x v="96"/>
    <x v="0"/>
    <x v="72"/>
    <x v="82"/>
    <x v="0"/>
    <x v="59"/>
    <x v="70"/>
    <x v="0"/>
    <x v="60"/>
    <x v="31"/>
    <x v="49"/>
    <x v="0"/>
    <x v="30"/>
    <x v="1"/>
    <x v="1"/>
  </r>
  <r>
    <x v="103"/>
    <x v="103"/>
    <x v="68"/>
    <x v="28"/>
    <x v="5"/>
    <x v="0"/>
    <x v="2"/>
    <x v="2"/>
    <x v="0"/>
    <x v="73"/>
    <x v="83"/>
    <x v="0"/>
    <x v="40"/>
    <x v="71"/>
    <x v="0"/>
    <x v="36"/>
    <x v="4"/>
    <x v="31"/>
    <x v="0"/>
    <x v="62"/>
    <x v="0"/>
    <x v="0"/>
  </r>
  <r>
    <x v="104"/>
    <x v="104"/>
    <x v="69"/>
    <x v="29"/>
    <x v="5"/>
    <x v="0"/>
    <x v="2"/>
    <x v="97"/>
    <x v="0"/>
    <x v="14"/>
    <x v="84"/>
    <x v="0"/>
    <x v="42"/>
    <x v="48"/>
    <x v="0"/>
    <x v="22"/>
    <x v="5"/>
    <x v="8"/>
    <x v="0"/>
    <x v="26"/>
    <x v="1"/>
    <x v="1"/>
  </r>
  <r>
    <x v="105"/>
    <x v="105"/>
    <x v="70"/>
    <x v="14"/>
    <x v="5"/>
    <x v="2"/>
    <x v="0"/>
    <x v="98"/>
    <x v="0"/>
    <x v="74"/>
    <x v="85"/>
    <x v="0"/>
    <x v="60"/>
    <x v="72"/>
    <x v="0"/>
    <x v="19"/>
    <x v="25"/>
    <x v="50"/>
    <x v="0"/>
    <x v="63"/>
    <x v="0"/>
    <x v="0"/>
  </r>
  <r>
    <x v="106"/>
    <x v="106"/>
    <x v="71"/>
    <x v="14"/>
    <x v="5"/>
    <x v="2"/>
    <x v="2"/>
    <x v="99"/>
    <x v="0"/>
    <x v="75"/>
    <x v="86"/>
    <x v="0"/>
    <x v="5"/>
    <x v="73"/>
    <x v="0"/>
    <x v="10"/>
    <x v="18"/>
    <x v="23"/>
    <x v="0"/>
    <x v="41"/>
    <x v="0"/>
    <x v="0"/>
  </r>
  <r>
    <x v="107"/>
    <x v="107"/>
    <x v="0"/>
    <x v="0"/>
    <x v="0"/>
    <x v="0"/>
    <x v="2"/>
    <x v="100"/>
    <x v="0"/>
    <x v="76"/>
    <x v="87"/>
    <x v="0"/>
    <x v="22"/>
    <x v="74"/>
    <x v="0"/>
    <x v="61"/>
    <x v="26"/>
    <x v="51"/>
    <x v="0"/>
    <x v="19"/>
    <x v="0"/>
    <x v="0"/>
  </r>
  <r>
    <x v="108"/>
    <x v="108"/>
    <x v="0"/>
    <x v="0"/>
    <x v="0"/>
    <x v="0"/>
    <x v="2"/>
    <x v="101"/>
    <x v="0"/>
    <x v="26"/>
    <x v="88"/>
    <x v="0"/>
    <x v="13"/>
    <x v="13"/>
    <x v="0"/>
    <x v="47"/>
    <x v="9"/>
    <x v="8"/>
    <x v="0"/>
    <x v="64"/>
    <x v="1"/>
    <x v="1"/>
  </r>
  <r>
    <x v="109"/>
    <x v="109"/>
    <x v="0"/>
    <x v="0"/>
    <x v="0"/>
    <x v="0"/>
    <x v="2"/>
    <x v="102"/>
    <x v="0"/>
    <x v="39"/>
    <x v="89"/>
    <x v="0"/>
    <x v="24"/>
    <x v="75"/>
    <x v="0"/>
    <x v="62"/>
    <x v="15"/>
    <x v="52"/>
    <x v="0"/>
    <x v="65"/>
    <x v="0"/>
    <x v="0"/>
  </r>
  <r>
    <x v="110"/>
    <x v="110"/>
    <x v="0"/>
    <x v="0"/>
    <x v="0"/>
    <x v="0"/>
    <x v="2"/>
    <x v="103"/>
    <x v="0"/>
    <x v="77"/>
    <x v="90"/>
    <x v="0"/>
    <x v="9"/>
    <x v="33"/>
    <x v="0"/>
    <x v="28"/>
    <x v="7"/>
    <x v="25"/>
    <x v="0"/>
    <x v="5"/>
    <x v="1"/>
    <x v="1"/>
  </r>
  <r>
    <x v="111"/>
    <x v="111"/>
    <x v="0"/>
    <x v="0"/>
    <x v="0"/>
    <x v="0"/>
    <x v="2"/>
    <x v="104"/>
    <x v="0"/>
    <x v="61"/>
    <x v="91"/>
    <x v="0"/>
    <x v="16"/>
    <x v="23"/>
    <x v="0"/>
    <x v="48"/>
    <x v="29"/>
    <x v="14"/>
    <x v="0"/>
    <x v="66"/>
    <x v="0"/>
    <x v="0"/>
  </r>
  <r>
    <x v="112"/>
    <x v="112"/>
    <x v="0"/>
    <x v="0"/>
    <x v="0"/>
    <x v="0"/>
    <x v="2"/>
    <x v="70"/>
    <x v="0"/>
    <x v="78"/>
    <x v="7"/>
    <x v="0"/>
    <x v="61"/>
    <x v="76"/>
    <x v="0"/>
    <x v="30"/>
    <x v="5"/>
    <x v="2"/>
    <x v="0"/>
    <x v="38"/>
    <x v="1"/>
    <x v="1"/>
  </r>
  <r>
    <x v="113"/>
    <x v="113"/>
    <x v="0"/>
    <x v="0"/>
    <x v="0"/>
    <x v="0"/>
    <x v="2"/>
    <x v="105"/>
    <x v="0"/>
    <x v="8"/>
    <x v="92"/>
    <x v="0"/>
    <x v="62"/>
    <x v="77"/>
    <x v="0"/>
    <x v="63"/>
    <x v="32"/>
    <x v="53"/>
    <x v="0"/>
    <x v="37"/>
    <x v="0"/>
    <x v="0"/>
  </r>
  <r>
    <x v="114"/>
    <x v="114"/>
    <x v="0"/>
    <x v="0"/>
    <x v="0"/>
    <x v="0"/>
    <x v="2"/>
    <x v="106"/>
    <x v="0"/>
    <x v="32"/>
    <x v="93"/>
    <x v="0"/>
    <x v="63"/>
    <x v="78"/>
    <x v="0"/>
    <x v="64"/>
    <x v="2"/>
    <x v="8"/>
    <x v="0"/>
    <x v="26"/>
    <x v="1"/>
    <x v="1"/>
  </r>
  <r>
    <x v="115"/>
    <x v="115"/>
    <x v="0"/>
    <x v="0"/>
    <x v="0"/>
    <x v="0"/>
    <x v="2"/>
    <x v="107"/>
    <x v="0"/>
    <x v="36"/>
    <x v="94"/>
    <x v="0"/>
    <x v="39"/>
    <x v="45"/>
    <x v="0"/>
    <x v="52"/>
    <x v="29"/>
    <x v="38"/>
    <x v="0"/>
    <x v="49"/>
    <x v="0"/>
    <x v="0"/>
  </r>
  <r>
    <x v="116"/>
    <x v="116"/>
    <x v="0"/>
    <x v="0"/>
    <x v="0"/>
    <x v="0"/>
    <x v="2"/>
    <x v="108"/>
    <x v="0"/>
    <x v="15"/>
    <x v="95"/>
    <x v="0"/>
    <x v="58"/>
    <x v="69"/>
    <x v="0"/>
    <x v="7"/>
    <x v="7"/>
    <x v="6"/>
    <x v="0"/>
    <x v="42"/>
    <x v="1"/>
    <x v="1"/>
  </r>
  <r>
    <x v="117"/>
    <x v="117"/>
    <x v="0"/>
    <x v="0"/>
    <x v="0"/>
    <x v="0"/>
    <x v="2"/>
    <x v="109"/>
    <x v="0"/>
    <x v="79"/>
    <x v="96"/>
    <x v="0"/>
    <x v="64"/>
    <x v="79"/>
    <x v="0"/>
    <x v="65"/>
    <x v="25"/>
    <x v="54"/>
    <x v="0"/>
    <x v="67"/>
    <x v="0"/>
    <x v="0"/>
  </r>
  <r>
    <x v="118"/>
    <x v="118"/>
    <x v="0"/>
    <x v="0"/>
    <x v="0"/>
    <x v="0"/>
    <x v="2"/>
    <x v="110"/>
    <x v="0"/>
    <x v="9"/>
    <x v="97"/>
    <x v="0"/>
    <x v="45"/>
    <x v="54"/>
    <x v="0"/>
    <x v="6"/>
    <x v="6"/>
    <x v="2"/>
    <x v="0"/>
    <x v="29"/>
    <x v="1"/>
    <x v="1"/>
  </r>
  <r>
    <x v="119"/>
    <x v="119"/>
    <x v="0"/>
    <x v="0"/>
    <x v="0"/>
    <x v="0"/>
    <x v="2"/>
    <x v="111"/>
    <x v="1"/>
    <x v="1"/>
    <x v="1"/>
    <x v="1"/>
    <x v="1"/>
    <x v="1"/>
    <x v="1"/>
    <x v="1"/>
    <x v="1"/>
    <x v="1"/>
    <x v="1"/>
    <x v="1"/>
    <x v="0"/>
    <x v="0"/>
  </r>
  <r>
    <x v="120"/>
    <x v="120"/>
    <x v="72"/>
    <x v="30"/>
    <x v="6"/>
    <x v="5"/>
    <x v="3"/>
    <x v="112"/>
    <x v="2"/>
    <x v="80"/>
    <x v="98"/>
    <x v="2"/>
    <x v="65"/>
    <x v="80"/>
    <x v="2"/>
    <x v="66"/>
    <x v="33"/>
    <x v="55"/>
    <x v="2"/>
    <x v="68"/>
    <x v="3"/>
    <x v="3"/>
  </r>
  <r>
    <x v="121"/>
    <x v="120"/>
    <x v="72"/>
    <x v="30"/>
    <x v="6"/>
    <x v="5"/>
    <x v="3"/>
    <x v="112"/>
    <x v="2"/>
    <x v="80"/>
    <x v="98"/>
    <x v="2"/>
    <x v="65"/>
    <x v="80"/>
    <x v="2"/>
    <x v="66"/>
    <x v="33"/>
    <x v="55"/>
    <x v="2"/>
    <x v="68"/>
    <x v="3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48:B55" firstHeaderRow="1" firstDataRow="1" firstDataCol="1"/>
  <pivotFields count="22">
    <pivotField compact="0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axis="axisRow" name="Branch" compact="0" sortType="ascending" showAll="0">
      <items count="121">
        <item h="1" x="100"/>
        <item h="1" x="69"/>
        <item h="1" x="15"/>
        <item h="1" x="101"/>
        <item h="1" x="42"/>
        <item h="1" x="2"/>
        <item h="1" x="3"/>
        <item h="1" x="26"/>
        <item h="1" x="24"/>
        <item x="33"/>
        <item x="108"/>
        <item x="51"/>
        <item x="16"/>
        <item x="30"/>
        <item x="113"/>
        <item h="1" x="13"/>
        <item h="1" x="110"/>
        <item h="1" x="39"/>
        <item h="1" x="7"/>
        <item h="1" x="111"/>
        <item h="1" x="36"/>
        <item h="1" x="88"/>
        <item h="1" x="105"/>
        <item h="1" x="85"/>
        <item h="1" x="9"/>
        <item h="1" x="55"/>
        <item h="1" x="1"/>
        <item h="1" x="67"/>
        <item h="1" x="104"/>
        <item h="1" x="48"/>
        <item h="1" x="21"/>
        <item h="1" x="116"/>
        <item h="1" x="31"/>
        <item h="1" x="34"/>
        <item h="1" x="76"/>
        <item h="1" x="96"/>
        <item h="1" x="53"/>
        <item h="1" x="27"/>
        <item h="1" x="84"/>
        <item h="1" x="56"/>
        <item h="1" x="77"/>
        <item h="1" x="25"/>
        <item h="1" x="98"/>
        <item h="1" x="44"/>
        <item h="1" x="103"/>
        <item h="1" x="75"/>
        <item h="1" x="22"/>
        <item h="1" x="86"/>
        <item h="1" x="93"/>
        <item h="1" x="82"/>
        <item h="1" x="89"/>
        <item h="1" x="72"/>
        <item h="1" x="119"/>
        <item h="1" x="115"/>
        <item h="1" x="70"/>
        <item h="1" x="8"/>
        <item h="1" x="29"/>
        <item h="1" x="102"/>
        <item h="1" x="18"/>
        <item h="1" x="11"/>
        <item h="1" x="74"/>
        <item h="1" x="54"/>
        <item h="1" x="90"/>
        <item h="1" x="107"/>
        <item h="1" x="20"/>
        <item h="1" x="41"/>
        <item h="1" x="66"/>
        <item h="1" x="79"/>
        <item h="1" x="0"/>
        <item h="1" x="52"/>
        <item h="1" x="78"/>
        <item h="1" x="57"/>
        <item h="1" x="10"/>
        <item h="1" x="114"/>
        <item h="1" x="38"/>
        <item h="1" x="6"/>
        <item h="1" x="37"/>
        <item h="1" x="49"/>
        <item h="1" x="63"/>
        <item h="1" x="47"/>
        <item h="1" x="59"/>
        <item h="1" x="94"/>
        <item h="1" x="62"/>
        <item h="1" x="87"/>
        <item h="1" x="32"/>
        <item h="1" x="50"/>
        <item h="1" x="60"/>
        <item h="1" x="71"/>
        <item h="1" x="4"/>
        <item h="1" x="45"/>
        <item h="1" x="81"/>
        <item h="1" x="35"/>
        <item h="1" x="97"/>
        <item h="1" x="65"/>
        <item h="1" x="64"/>
        <item h="1" x="80"/>
        <item h="1" x="19"/>
        <item h="1" x="118"/>
        <item h="1" x="61"/>
        <item h="1" x="99"/>
        <item h="1" x="95"/>
        <item h="1" x="5"/>
        <item h="1" x="106"/>
        <item h="1" x="83"/>
        <item h="1" x="92"/>
        <item h="1" x="17"/>
        <item h="1" x="14"/>
        <item h="1" x="46"/>
        <item h="1" x="28"/>
        <item h="1" x="91"/>
        <item h="1" x="73"/>
        <item h="1" x="40"/>
        <item h="1" x="23"/>
        <item h="1" x="68"/>
        <item h="1" x="58"/>
        <item h="1" x="117"/>
        <item h="1" x="112"/>
        <item h="1" x="43"/>
        <item h="1" x="12"/>
        <item h="1" x="109"/>
        <item t="default"/>
      </items>
    </pivotField>
    <pivotField compact="0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113">
        <item x="1"/>
        <item x="38"/>
        <item x="83"/>
        <item x="34"/>
        <item x="57"/>
        <item x="78"/>
        <item x="95"/>
        <item x="48"/>
        <item x="64"/>
        <item x="110"/>
        <item x="14"/>
        <item x="56"/>
        <item x="91"/>
        <item x="31"/>
        <item x="70"/>
        <item x="46"/>
        <item x="20"/>
        <item x="51"/>
        <item x="97"/>
        <item x="62"/>
        <item x="12"/>
        <item x="76"/>
        <item x="45"/>
        <item x="7"/>
        <item x="72"/>
        <item x="92"/>
        <item x="60"/>
        <item x="103"/>
        <item x="24"/>
        <item x="87"/>
        <item x="54"/>
        <item x="108"/>
        <item x="36"/>
        <item x="13"/>
        <item x="68"/>
        <item x="94"/>
        <item x="9"/>
        <item x="59"/>
        <item x="85"/>
        <item x="40"/>
        <item x="74"/>
        <item x="19"/>
        <item x="2"/>
        <item x="25"/>
        <item x="101"/>
        <item x="66"/>
        <item x="16"/>
        <item x="89"/>
        <item x="52"/>
        <item x="10"/>
        <item x="29"/>
        <item x="106"/>
        <item x="81"/>
        <item x="42"/>
        <item x="99"/>
        <item x="3"/>
        <item x="71"/>
        <item x="32"/>
        <item x="23"/>
        <item x="49"/>
        <item x="111"/>
        <item x="79"/>
        <item x="55"/>
        <item x="30"/>
        <item x="39"/>
        <item x="44"/>
        <item x="104"/>
        <item x="43"/>
        <item x="26"/>
        <item x="8"/>
        <item x="86"/>
        <item x="11"/>
        <item x="107"/>
        <item x="100"/>
        <item x="65"/>
        <item x="93"/>
        <item x="21"/>
        <item x="61"/>
        <item x="77"/>
        <item x="88"/>
        <item x="63"/>
        <item x="105"/>
        <item x="73"/>
        <item x="18"/>
        <item x="67"/>
        <item x="98"/>
        <item x="90"/>
        <item x="35"/>
        <item x="47"/>
        <item x="109"/>
        <item x="53"/>
        <item x="6"/>
        <item x="102"/>
        <item x="15"/>
        <item x="82"/>
        <item x="28"/>
        <item x="33"/>
        <item x="84"/>
        <item x="0"/>
        <item x="96"/>
        <item x="22"/>
        <item x="5"/>
        <item x="80"/>
        <item x="69"/>
        <item x="41"/>
        <item x="4"/>
        <item x="58"/>
        <item x="37"/>
        <item x="17"/>
        <item x="75"/>
        <item x="27"/>
        <item x="5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compact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compact="0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1"/>
  </rowFields>
  <rowItems count="7"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Total deposits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69:B76" firstHeaderRow="1" firstDataRow="1" firstDataCol="1"/>
  <pivotFields count="22">
    <pivotField compact="0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compact="0" showAll="0">
      <items count="121">
        <item x="100"/>
        <item x="69"/>
        <item x="15"/>
        <item x="101"/>
        <item x="42"/>
        <item x="2"/>
        <item x="3"/>
        <item x="26"/>
        <item x="24"/>
        <item x="33"/>
        <item x="108"/>
        <item x="51"/>
        <item x="16"/>
        <item x="30"/>
        <item x="113"/>
        <item x="13"/>
        <item x="110"/>
        <item x="39"/>
        <item x="7"/>
        <item x="111"/>
        <item x="36"/>
        <item x="88"/>
        <item x="105"/>
        <item x="85"/>
        <item x="9"/>
        <item x="55"/>
        <item x="1"/>
        <item x="67"/>
        <item x="104"/>
        <item x="48"/>
        <item x="21"/>
        <item x="116"/>
        <item x="31"/>
        <item x="34"/>
        <item x="76"/>
        <item x="96"/>
        <item x="53"/>
        <item x="27"/>
        <item x="84"/>
        <item x="56"/>
        <item x="77"/>
        <item x="25"/>
        <item x="98"/>
        <item x="44"/>
        <item x="103"/>
        <item x="75"/>
        <item x="22"/>
        <item x="86"/>
        <item x="93"/>
        <item x="82"/>
        <item x="89"/>
        <item x="72"/>
        <item x="119"/>
        <item x="115"/>
        <item x="70"/>
        <item x="8"/>
        <item x="29"/>
        <item x="102"/>
        <item x="18"/>
        <item x="11"/>
        <item x="74"/>
        <item x="54"/>
        <item x="90"/>
        <item x="107"/>
        <item x="20"/>
        <item x="41"/>
        <item x="66"/>
        <item x="79"/>
        <item x="0"/>
        <item x="52"/>
        <item x="78"/>
        <item x="57"/>
        <item x="10"/>
        <item x="114"/>
        <item x="38"/>
        <item x="6"/>
        <item x="37"/>
        <item x="49"/>
        <item x="63"/>
        <item x="47"/>
        <item x="59"/>
        <item x="94"/>
        <item x="62"/>
        <item x="87"/>
        <item x="32"/>
        <item x="50"/>
        <item x="60"/>
        <item x="71"/>
        <item x="4"/>
        <item x="45"/>
        <item x="81"/>
        <item x="35"/>
        <item x="97"/>
        <item x="65"/>
        <item x="64"/>
        <item x="80"/>
        <item x="19"/>
        <item x="118"/>
        <item x="61"/>
        <item x="99"/>
        <item x="95"/>
        <item x="5"/>
        <item x="106"/>
        <item x="83"/>
        <item x="92"/>
        <item x="17"/>
        <item x="14"/>
        <item x="46"/>
        <item x="28"/>
        <item x="91"/>
        <item x="73"/>
        <item x="40"/>
        <item x="23"/>
        <item x="68"/>
        <item x="58"/>
        <item x="117"/>
        <item x="112"/>
        <item x="43"/>
        <item x="12"/>
        <item x="109"/>
        <item t="default"/>
      </items>
    </pivotField>
    <pivotField compact="0" showAll="0">
      <items count="73">
        <item x="65"/>
        <item x="36"/>
        <item x="6"/>
        <item x="66"/>
        <item x="27"/>
        <item x="4"/>
        <item x="11"/>
        <item x="18"/>
        <item x="15"/>
        <item x="5"/>
        <item x="24"/>
        <item x="21"/>
        <item x="55"/>
        <item x="70"/>
        <item x="52"/>
        <item x="69"/>
        <item x="33"/>
        <item x="16"/>
        <item x="19"/>
        <item x="43"/>
        <item x="62"/>
        <item x="51"/>
        <item x="44"/>
        <item x="12"/>
        <item x="63"/>
        <item x="29"/>
        <item x="68"/>
        <item x="42"/>
        <item x="10"/>
        <item x="53"/>
        <item x="49"/>
        <item x="56"/>
        <item x="39"/>
        <item x="37"/>
        <item x="14"/>
        <item x="67"/>
        <item x="8"/>
        <item x="41"/>
        <item x="57"/>
        <item x="9"/>
        <item x="26"/>
        <item x="46"/>
        <item x="45"/>
        <item x="0"/>
        <item x="23"/>
        <item x="2"/>
        <item x="22"/>
        <item x="34"/>
        <item x="3"/>
        <item x="32"/>
        <item x="60"/>
        <item x="54"/>
        <item x="17"/>
        <item x="38"/>
        <item x="1"/>
        <item x="30"/>
        <item x="48"/>
        <item x="20"/>
        <item x="47"/>
        <item x="64"/>
        <item x="61"/>
        <item x="71"/>
        <item x="50"/>
        <item x="59"/>
        <item x="7"/>
        <item x="31"/>
        <item x="13"/>
        <item x="58"/>
        <item x="40"/>
        <item x="25"/>
        <item x="35"/>
        <item x="28"/>
        <item t="default"/>
      </items>
    </pivotField>
    <pivotField compact="0" showAll="0">
      <items count="31">
        <item x="18"/>
        <item x="28"/>
        <item x="14"/>
        <item x="12"/>
        <item x="19"/>
        <item x="1"/>
        <item x="21"/>
        <item x="4"/>
        <item x="11"/>
        <item x="22"/>
        <item x="20"/>
        <item x="15"/>
        <item x="2"/>
        <item x="10"/>
        <item x="8"/>
        <item x="0"/>
        <item x="23"/>
        <item x="24"/>
        <item x="26"/>
        <item x="27"/>
        <item x="13"/>
        <item x="17"/>
        <item x="7"/>
        <item x="29"/>
        <item x="3"/>
        <item x="9"/>
        <item x="25"/>
        <item x="6"/>
        <item x="16"/>
        <item x="5"/>
        <item t="default"/>
      </items>
    </pivotField>
    <pivotField axis="axisRow" compact="0" multipleItemSelectionAllowed="1" showAll="0">
      <items count="7">
        <item x="4"/>
        <item x="3"/>
        <item x="5"/>
        <item x="1"/>
        <item x="2"/>
        <item x="0"/>
        <item t="default"/>
      </items>
    </pivotField>
    <pivotField compact="0" showAll="0">
      <items count="6">
        <item x="1"/>
        <item x="0"/>
        <item x="2"/>
        <item x="4"/>
        <item x="3"/>
        <item t="default"/>
      </items>
    </pivotField>
    <pivotField compact="0" showAll="0">
      <items count="4">
        <item x="1"/>
        <item x="2"/>
        <item x="0"/>
        <item t="default"/>
      </items>
    </pivotField>
    <pivotField dataField="1" compact="0" showAll="0">
      <items count="113">
        <item x="1"/>
        <item x="38"/>
        <item x="83"/>
        <item x="34"/>
        <item x="57"/>
        <item x="78"/>
        <item x="95"/>
        <item x="48"/>
        <item x="64"/>
        <item x="110"/>
        <item x="14"/>
        <item x="56"/>
        <item x="91"/>
        <item x="31"/>
        <item x="70"/>
        <item x="46"/>
        <item x="20"/>
        <item x="51"/>
        <item x="97"/>
        <item x="62"/>
        <item x="12"/>
        <item x="76"/>
        <item x="45"/>
        <item x="7"/>
        <item x="72"/>
        <item x="92"/>
        <item x="60"/>
        <item x="103"/>
        <item x="24"/>
        <item x="87"/>
        <item x="54"/>
        <item x="108"/>
        <item x="36"/>
        <item x="13"/>
        <item x="68"/>
        <item x="94"/>
        <item x="9"/>
        <item x="59"/>
        <item x="85"/>
        <item x="40"/>
        <item x="74"/>
        <item x="19"/>
        <item x="2"/>
        <item x="25"/>
        <item x="101"/>
        <item x="66"/>
        <item x="16"/>
        <item x="89"/>
        <item x="52"/>
        <item x="10"/>
        <item x="29"/>
        <item x="106"/>
        <item x="81"/>
        <item x="42"/>
        <item x="99"/>
        <item x="3"/>
        <item x="71"/>
        <item x="32"/>
        <item x="23"/>
        <item x="49"/>
        <item x="111"/>
        <item x="79"/>
        <item x="55"/>
        <item x="30"/>
        <item x="39"/>
        <item x="44"/>
        <item x="104"/>
        <item x="43"/>
        <item x="26"/>
        <item x="8"/>
        <item x="86"/>
        <item x="11"/>
        <item x="107"/>
        <item x="100"/>
        <item x="65"/>
        <item x="93"/>
        <item x="21"/>
        <item x="61"/>
        <item x="77"/>
        <item x="88"/>
        <item x="63"/>
        <item x="105"/>
        <item x="73"/>
        <item x="18"/>
        <item x="67"/>
        <item x="98"/>
        <item x="90"/>
        <item x="35"/>
        <item x="47"/>
        <item x="109"/>
        <item x="53"/>
        <item x="6"/>
        <item x="102"/>
        <item x="15"/>
        <item x="82"/>
        <item x="28"/>
        <item x="33"/>
        <item x="84"/>
        <item x="0"/>
        <item x="96"/>
        <item x="22"/>
        <item x="5"/>
        <item x="80"/>
        <item x="69"/>
        <item x="41"/>
        <item x="4"/>
        <item x="58"/>
        <item x="37"/>
        <item x="17"/>
        <item x="75"/>
        <item x="27"/>
        <item x="5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81">
        <item x="1"/>
        <item x="78"/>
        <item x="28"/>
        <item x="44"/>
        <item x="7"/>
        <item x="56"/>
        <item x="70"/>
        <item x="16"/>
        <item x="60"/>
        <item x="37"/>
        <item x="19"/>
        <item x="5"/>
        <item x="77"/>
        <item x="11"/>
        <item x="15"/>
        <item x="41"/>
        <item x="67"/>
        <item x="71"/>
        <item x="48"/>
        <item x="52"/>
        <item x="17"/>
        <item x="69"/>
        <item x="46"/>
        <item x="42"/>
        <item x="9"/>
        <item x="62"/>
        <item x="2"/>
        <item x="50"/>
        <item x="35"/>
        <item x="18"/>
        <item x="54"/>
        <item x="14"/>
        <item x="51"/>
        <item x="65"/>
        <item x="6"/>
        <item x="26"/>
        <item x="39"/>
        <item x="4"/>
        <item x="32"/>
        <item x="59"/>
        <item x="24"/>
        <item x="68"/>
        <item x="22"/>
        <item x="23"/>
        <item x="3"/>
        <item x="64"/>
        <item x="33"/>
        <item x="25"/>
        <item x="57"/>
        <item x="75"/>
        <item x="36"/>
        <item x="10"/>
        <item x="47"/>
        <item x="66"/>
        <item x="49"/>
        <item x="76"/>
        <item x="29"/>
        <item x="31"/>
        <item x="73"/>
        <item x="8"/>
        <item x="55"/>
        <item x="43"/>
        <item x="21"/>
        <item x="34"/>
        <item x="61"/>
        <item x="40"/>
        <item x="0"/>
        <item x="20"/>
        <item x="74"/>
        <item x="45"/>
        <item x="79"/>
        <item x="13"/>
        <item x="63"/>
        <item x="27"/>
        <item x="53"/>
        <item x="58"/>
        <item x="12"/>
        <item x="38"/>
        <item x="72"/>
        <item x="30"/>
        <item t="default"/>
      </items>
    </pivotField>
    <pivotField compact="0" showAll="0">
      <items count="99">
        <item x="1"/>
        <item x="32"/>
        <item x="7"/>
        <item x="50"/>
        <item x="63"/>
        <item x="15"/>
        <item x="16"/>
        <item x="80"/>
        <item x="66"/>
        <item x="42"/>
        <item x="5"/>
        <item x="20"/>
        <item x="11"/>
        <item x="90"/>
        <item x="81"/>
        <item x="95"/>
        <item x="46"/>
        <item x="76"/>
        <item x="54"/>
        <item x="58"/>
        <item x="18"/>
        <item x="52"/>
        <item x="78"/>
        <item x="19"/>
        <item x="9"/>
        <item x="48"/>
        <item x="2"/>
        <item x="59"/>
        <item x="97"/>
        <item x="68"/>
        <item x="56"/>
        <item x="57"/>
        <item x="4"/>
        <item x="74"/>
        <item x="40"/>
        <item x="26"/>
        <item x="37"/>
        <item x="61"/>
        <item x="14"/>
        <item x="88"/>
        <item x="89"/>
        <item x="44"/>
        <item x="84"/>
        <item x="6"/>
        <item x="36"/>
        <item x="72"/>
        <item x="27"/>
        <item x="93"/>
        <item x="3"/>
        <item x="30"/>
        <item x="77"/>
        <item x="47"/>
        <item x="29"/>
        <item x="25"/>
        <item x="22"/>
        <item x="64"/>
        <item x="71"/>
        <item x="38"/>
        <item x="70"/>
        <item x="24"/>
        <item x="17"/>
        <item x="41"/>
        <item x="10"/>
        <item x="94"/>
        <item x="86"/>
        <item x="53"/>
        <item x="55"/>
        <item x="75"/>
        <item x="28"/>
        <item x="87"/>
        <item x="33"/>
        <item x="35"/>
        <item x="83"/>
        <item x="8"/>
        <item x="92"/>
        <item x="49"/>
        <item x="62"/>
        <item x="79"/>
        <item x="67"/>
        <item x="23"/>
        <item x="39"/>
        <item x="45"/>
        <item x="91"/>
        <item x="73"/>
        <item x="0"/>
        <item x="21"/>
        <item x="85"/>
        <item x="51"/>
        <item x="96"/>
        <item x="60"/>
        <item x="13"/>
        <item x="69"/>
        <item x="31"/>
        <item x="65"/>
        <item x="12"/>
        <item x="82"/>
        <item x="43"/>
        <item x="3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6">
        <item x="1"/>
        <item x="14"/>
        <item x="18"/>
        <item x="32"/>
        <item x="6"/>
        <item x="46"/>
        <item x="25"/>
        <item x="50"/>
        <item x="10"/>
        <item x="61"/>
        <item x="45"/>
        <item x="2"/>
        <item x="38"/>
        <item x="42"/>
        <item x="7"/>
        <item x="48"/>
        <item x="35"/>
        <item x="58"/>
        <item x="4"/>
        <item x="53"/>
        <item x="9"/>
        <item x="56"/>
        <item x="29"/>
        <item x="20"/>
        <item x="5"/>
        <item x="52"/>
        <item x="63"/>
        <item x="26"/>
        <item x="13"/>
        <item x="16"/>
        <item x="36"/>
        <item x="0"/>
        <item x="43"/>
        <item x="28"/>
        <item x="22"/>
        <item x="19"/>
        <item x="39"/>
        <item x="57"/>
        <item x="34"/>
        <item x="23"/>
        <item x="15"/>
        <item x="62"/>
        <item x="30"/>
        <item x="54"/>
        <item x="21"/>
        <item x="40"/>
        <item x="3"/>
        <item x="37"/>
        <item x="24"/>
        <item x="41"/>
        <item x="64"/>
        <item x="55"/>
        <item x="17"/>
        <item x="49"/>
        <item x="60"/>
        <item x="31"/>
        <item x="12"/>
        <item x="51"/>
        <item x="33"/>
        <item x="11"/>
        <item x="27"/>
        <item x="59"/>
        <item x="44"/>
        <item x="47"/>
        <item x="8"/>
        <item t="default"/>
      </items>
    </pivotField>
    <pivotField compact="0" showAll="0">
      <items count="81">
        <item x="1"/>
        <item x="14"/>
        <item x="19"/>
        <item x="38"/>
        <item x="6"/>
        <item x="56"/>
        <item x="29"/>
        <item x="60"/>
        <item x="10"/>
        <item x="76"/>
        <item x="54"/>
        <item x="44"/>
        <item x="2"/>
        <item x="24"/>
        <item x="48"/>
        <item x="27"/>
        <item x="7"/>
        <item x="58"/>
        <item x="41"/>
        <item x="69"/>
        <item x="4"/>
        <item x="17"/>
        <item x="52"/>
        <item x="64"/>
        <item x="49"/>
        <item x="33"/>
        <item x="9"/>
        <item x="34"/>
        <item x="67"/>
        <item x="50"/>
        <item x="21"/>
        <item x="5"/>
        <item x="73"/>
        <item x="63"/>
        <item x="62"/>
        <item x="78"/>
        <item x="30"/>
        <item x="13"/>
        <item x="35"/>
        <item x="23"/>
        <item x="16"/>
        <item x="0"/>
        <item x="42"/>
        <item x="51"/>
        <item x="74"/>
        <item x="32"/>
        <item x="20"/>
        <item x="25"/>
        <item x="45"/>
        <item x="40"/>
        <item x="68"/>
        <item x="26"/>
        <item x="55"/>
        <item x="36"/>
        <item x="15"/>
        <item x="77"/>
        <item x="65"/>
        <item x="22"/>
        <item x="71"/>
        <item x="46"/>
        <item x="3"/>
        <item x="43"/>
        <item x="28"/>
        <item x="75"/>
        <item x="47"/>
        <item x="79"/>
        <item x="66"/>
        <item x="18"/>
        <item x="59"/>
        <item x="72"/>
        <item x="37"/>
        <item x="12"/>
        <item x="61"/>
        <item x="39"/>
        <item x="11"/>
        <item x="31"/>
        <item x="70"/>
        <item x="53"/>
        <item x="57"/>
        <item x="8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7">
        <item x="1"/>
        <item x="30"/>
        <item x="18"/>
        <item x="6"/>
        <item x="22"/>
        <item x="5"/>
        <item x="9"/>
        <item x="16"/>
        <item x="14"/>
        <item x="7"/>
        <item x="28"/>
        <item x="46"/>
        <item x="20"/>
        <item x="2"/>
        <item x="11"/>
        <item x="15"/>
        <item x="64"/>
        <item x="27"/>
        <item x="42"/>
        <item x="49"/>
        <item x="39"/>
        <item x="47"/>
        <item x="44"/>
        <item x="25"/>
        <item x="35"/>
        <item x="10"/>
        <item x="58"/>
        <item x="26"/>
        <item x="33"/>
        <item x="52"/>
        <item x="23"/>
        <item x="48"/>
        <item x="36"/>
        <item x="43"/>
        <item x="4"/>
        <item x="61"/>
        <item x="41"/>
        <item x="17"/>
        <item x="59"/>
        <item x="34"/>
        <item x="51"/>
        <item x="24"/>
        <item x="56"/>
        <item x="63"/>
        <item x="31"/>
        <item x="3"/>
        <item x="19"/>
        <item x="40"/>
        <item x="65"/>
        <item x="54"/>
        <item x="29"/>
        <item x="57"/>
        <item x="0"/>
        <item x="37"/>
        <item x="55"/>
        <item x="21"/>
        <item x="62"/>
        <item x="45"/>
        <item x="13"/>
        <item x="38"/>
        <item x="8"/>
        <item x="60"/>
        <item x="32"/>
        <item x="53"/>
        <item x="50"/>
        <item x="12"/>
        <item t="default"/>
      </items>
    </pivotField>
    <pivotField compact="0" showAll="0">
      <items count="34">
        <item x="1"/>
        <item x="5"/>
        <item x="6"/>
        <item x="7"/>
        <item x="10"/>
        <item x="2"/>
        <item x="27"/>
        <item x="9"/>
        <item x="22"/>
        <item x="17"/>
        <item x="18"/>
        <item x="29"/>
        <item x="4"/>
        <item x="13"/>
        <item x="26"/>
        <item x="21"/>
        <item x="16"/>
        <item x="3"/>
        <item x="32"/>
        <item x="24"/>
        <item x="14"/>
        <item x="25"/>
        <item x="19"/>
        <item x="15"/>
        <item x="30"/>
        <item x="28"/>
        <item x="12"/>
        <item x="0"/>
        <item x="23"/>
        <item x="31"/>
        <item x="20"/>
        <item x="8"/>
        <item x="11"/>
        <item t="default"/>
      </items>
    </pivotField>
    <pivotField compact="0" showAll="0">
      <items count="56">
        <item x="43"/>
        <item x="27"/>
        <item x="49"/>
        <item x="41"/>
        <item x="52"/>
        <item x="10"/>
        <item x="19"/>
        <item x="11"/>
        <item x="39"/>
        <item x="32"/>
        <item x="7"/>
        <item x="45"/>
        <item x="44"/>
        <item x="47"/>
        <item x="54"/>
        <item x="17"/>
        <item x="26"/>
        <item x="3"/>
        <item x="34"/>
        <item x="15"/>
        <item x="29"/>
        <item x="21"/>
        <item x="50"/>
        <item x="42"/>
        <item x="53"/>
        <item x="46"/>
        <item x="33"/>
        <item x="35"/>
        <item x="51"/>
        <item x="4"/>
        <item x="0"/>
        <item x="5"/>
        <item x="37"/>
        <item x="14"/>
        <item x="18"/>
        <item x="48"/>
        <item x="30"/>
        <item x="28"/>
        <item x="8"/>
        <item x="31"/>
        <item x="36"/>
        <item x="9"/>
        <item x="25"/>
        <item x="13"/>
        <item x="38"/>
        <item x="40"/>
        <item x="22"/>
        <item x="23"/>
        <item x="6"/>
        <item x="20"/>
        <item x="24"/>
        <item x="12"/>
        <item x="2"/>
        <item x="16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9">
        <item x="1"/>
        <item x="22"/>
        <item x="45"/>
        <item x="32"/>
        <item x="14"/>
        <item x="18"/>
        <item x="29"/>
        <item x="7"/>
        <item x="36"/>
        <item x="5"/>
        <item x="11"/>
        <item x="40"/>
        <item x="50"/>
        <item x="24"/>
        <item x="26"/>
        <item x="44"/>
        <item x="38"/>
        <item x="49"/>
        <item x="16"/>
        <item x="54"/>
        <item x="42"/>
        <item x="6"/>
        <item x="27"/>
        <item x="20"/>
        <item x="55"/>
        <item x="64"/>
        <item x="47"/>
        <item x="2"/>
        <item x="58"/>
        <item x="23"/>
        <item x="15"/>
        <item x="9"/>
        <item x="33"/>
        <item x="53"/>
        <item x="25"/>
        <item x="46"/>
        <item x="66"/>
        <item x="4"/>
        <item x="41"/>
        <item x="17"/>
        <item x="35"/>
        <item x="0"/>
        <item x="62"/>
        <item x="10"/>
        <item x="19"/>
        <item x="34"/>
        <item x="61"/>
        <item x="13"/>
        <item x="56"/>
        <item x="37"/>
        <item x="59"/>
        <item x="28"/>
        <item x="63"/>
        <item x="12"/>
        <item x="43"/>
        <item x="3"/>
        <item x="65"/>
        <item x="48"/>
        <item x="60"/>
        <item x="21"/>
        <item x="51"/>
        <item x="30"/>
        <item x="31"/>
        <item x="57"/>
        <item x="52"/>
        <item x="8"/>
        <item x="67"/>
        <item x="39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">
        <item x="1"/>
        <item x="0"/>
        <item x="2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deposits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78:B91" firstHeaderRow="1" firstDataRow="1" firstDataCol="1"/>
  <pivotFields count="6">
    <pivotField axis="axisRow" compact="0" showAll="0">
      <items count="13">
        <item x="7"/>
        <item x="3"/>
        <item x="1"/>
        <item x="8"/>
        <item x="4"/>
        <item x="11"/>
        <item x="0"/>
        <item x="6"/>
        <item x="10"/>
        <item x="9"/>
        <item x="2"/>
        <item x="5"/>
        <item t="default"/>
      </items>
    </pivotField>
    <pivotField compact="0" showAll="0">
      <items count="10">
        <item x="8"/>
        <item x="4"/>
        <item x="6"/>
        <item x="3"/>
        <item x="7"/>
        <item x="5"/>
        <item x="1"/>
        <item x="0"/>
        <item x="2"/>
        <item t="default"/>
      </items>
    </pivotField>
    <pivotField compact="0" showAll="0">
      <items count="13">
        <item x="8"/>
        <item x="5"/>
        <item x="11"/>
        <item x="9"/>
        <item x="10"/>
        <item x="7"/>
        <item x="4"/>
        <item x="2"/>
        <item x="1"/>
        <item x="6"/>
        <item x="3"/>
        <item x="0"/>
        <item t="default"/>
      </items>
    </pivotField>
    <pivotField dataField="1" compact="0" showAll="0">
      <items count="13">
        <item x="8"/>
        <item x="5"/>
        <item x="11"/>
        <item x="9"/>
        <item x="10"/>
        <item x="7"/>
        <item x="4"/>
        <item x="1"/>
        <item x="3"/>
        <item x="2"/>
        <item x="6"/>
        <item x="0"/>
        <item t="default"/>
      </items>
    </pivotField>
    <pivotField compact="0" showAll="0">
      <items count="13">
        <item x="7"/>
        <item x="11"/>
        <item x="9"/>
        <item x="4"/>
        <item x="0"/>
        <item x="1"/>
        <item x="6"/>
        <item x="10"/>
        <item x="2"/>
        <item x="3"/>
        <item x="5"/>
        <item x="8"/>
        <item t="default"/>
      </items>
    </pivotField>
    <pivotField compact="0" showAll="0">
      <items count="13">
        <item x="5"/>
        <item x="8"/>
        <item x="9"/>
        <item x="11"/>
        <item x="2"/>
        <item x="10"/>
        <item x="4"/>
        <item x="7"/>
        <item x="1"/>
        <item x="6"/>
        <item x="3"/>
        <item x="0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OutstandingAmount" fld="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5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G92:H99" firstHeaderRow="1" firstDataRow="1" firstDataCol="1"/>
  <pivotFields count="22">
    <pivotField compact="0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compact="0" showAll="0">
      <items count="122">
        <item x="100"/>
        <item x="69"/>
        <item x="15"/>
        <item x="101"/>
        <item x="42"/>
        <item x="2"/>
        <item x="3"/>
        <item x="26"/>
        <item x="24"/>
        <item x="33"/>
        <item x="108"/>
        <item x="51"/>
        <item x="16"/>
        <item x="30"/>
        <item x="113"/>
        <item x="13"/>
        <item x="110"/>
        <item x="39"/>
        <item x="7"/>
        <item x="111"/>
        <item x="36"/>
        <item x="88"/>
        <item x="105"/>
        <item x="85"/>
        <item x="9"/>
        <item x="55"/>
        <item x="1"/>
        <item x="67"/>
        <item x="104"/>
        <item x="48"/>
        <item x="21"/>
        <item x="116"/>
        <item x="31"/>
        <item x="34"/>
        <item x="76"/>
        <item x="96"/>
        <item x="53"/>
        <item x="27"/>
        <item x="84"/>
        <item x="56"/>
        <item x="77"/>
        <item x="25"/>
        <item x="98"/>
        <item x="44"/>
        <item x="103"/>
        <item x="75"/>
        <item x="22"/>
        <item x="86"/>
        <item x="93"/>
        <item x="82"/>
        <item x="89"/>
        <item x="72"/>
        <item x="119"/>
        <item x="115"/>
        <item x="70"/>
        <item x="8"/>
        <item x="29"/>
        <item x="102"/>
        <item x="18"/>
        <item x="11"/>
        <item x="74"/>
        <item x="54"/>
        <item x="90"/>
        <item x="107"/>
        <item x="20"/>
        <item x="41"/>
        <item x="66"/>
        <item x="79"/>
        <item x="0"/>
        <item x="52"/>
        <item x="78"/>
        <item x="57"/>
        <item x="10"/>
        <item x="114"/>
        <item x="38"/>
        <item x="6"/>
        <item x="37"/>
        <item x="49"/>
        <item x="63"/>
        <item x="47"/>
        <item x="59"/>
        <item x="94"/>
        <item x="62"/>
        <item x="87"/>
        <item x="32"/>
        <item x="50"/>
        <item x="60"/>
        <item x="71"/>
        <item x="4"/>
        <item x="45"/>
        <item x="81"/>
        <item x="35"/>
        <item x="97"/>
        <item x="65"/>
        <item x="64"/>
        <item x="80"/>
        <item x="19"/>
        <item x="118"/>
        <item x="61"/>
        <item x="99"/>
        <item x="95"/>
        <item x="5"/>
        <item x="106"/>
        <item x="83"/>
        <item x="92"/>
        <item x="17"/>
        <item x="14"/>
        <item x="46"/>
        <item x="28"/>
        <item x="91"/>
        <item x="73"/>
        <item x="40"/>
        <item x="23"/>
        <item x="68"/>
        <item x="58"/>
        <item x="117"/>
        <item x="112"/>
        <item x="43"/>
        <item x="12"/>
        <item x="109"/>
        <item x="120"/>
        <item t="default"/>
      </items>
    </pivotField>
    <pivotField compact="0" showAll="0">
      <items count="74">
        <item x="65"/>
        <item x="36"/>
        <item x="6"/>
        <item x="66"/>
        <item x="27"/>
        <item x="4"/>
        <item x="11"/>
        <item x="18"/>
        <item x="15"/>
        <item x="5"/>
        <item x="24"/>
        <item x="21"/>
        <item x="55"/>
        <item x="70"/>
        <item x="52"/>
        <item x="69"/>
        <item x="33"/>
        <item x="16"/>
        <item x="19"/>
        <item x="43"/>
        <item x="62"/>
        <item x="51"/>
        <item x="44"/>
        <item x="12"/>
        <item x="63"/>
        <item x="29"/>
        <item x="68"/>
        <item x="42"/>
        <item x="10"/>
        <item x="53"/>
        <item x="49"/>
        <item x="56"/>
        <item x="39"/>
        <item x="37"/>
        <item x="14"/>
        <item x="67"/>
        <item x="8"/>
        <item x="41"/>
        <item x="57"/>
        <item x="9"/>
        <item x="26"/>
        <item x="46"/>
        <item x="45"/>
        <item x="0"/>
        <item x="23"/>
        <item x="2"/>
        <item x="22"/>
        <item x="34"/>
        <item x="3"/>
        <item x="32"/>
        <item x="60"/>
        <item x="54"/>
        <item x="17"/>
        <item x="38"/>
        <item x="1"/>
        <item x="30"/>
        <item x="48"/>
        <item x="20"/>
        <item x="47"/>
        <item x="64"/>
        <item x="61"/>
        <item x="71"/>
        <item x="50"/>
        <item x="59"/>
        <item x="7"/>
        <item x="31"/>
        <item x="13"/>
        <item x="58"/>
        <item x="40"/>
        <item x="25"/>
        <item x="35"/>
        <item x="28"/>
        <item x="72"/>
        <item t="default"/>
      </items>
    </pivotField>
    <pivotField axis="axisRow" compact="0" showAll="0">
      <items count="32">
        <item x="18"/>
        <item x="28"/>
        <item x="14"/>
        <item x="12"/>
        <item x="19"/>
        <item x="1"/>
        <item h="1" x="21"/>
        <item h="1" x="4"/>
        <item h="1" x="11"/>
        <item h="1" x="22"/>
        <item h="1" x="20"/>
        <item h="1" x="15"/>
        <item h="1" x="2"/>
        <item h="1" x="10"/>
        <item h="1" x="8"/>
        <item h="1" x="0"/>
        <item h="1" x="23"/>
        <item h="1" x="24"/>
        <item h="1" x="26"/>
        <item h="1" x="27"/>
        <item h="1" x="13"/>
        <item h="1" x="17"/>
        <item h="1" x="7"/>
        <item h="1" x="29"/>
        <item h="1" x="3"/>
        <item h="1" x="9"/>
        <item h="1" x="25"/>
        <item h="1" x="6"/>
        <item h="1" x="16"/>
        <item h="1" x="5"/>
        <item h="1" x="30"/>
        <item t="default"/>
      </items>
    </pivotField>
    <pivotField compact="0" showAll="0">
      <items count="8">
        <item x="4"/>
        <item x="3"/>
        <item x="5"/>
        <item x="1"/>
        <item x="2"/>
        <item x="0"/>
        <item x="6"/>
        <item t="default"/>
      </items>
    </pivotField>
    <pivotField compact="0" showAll="0">
      <items count="7">
        <item x="1"/>
        <item x="0"/>
        <item x="2"/>
        <item x="4"/>
        <item x="3"/>
        <item x="5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14">
        <item x="1"/>
        <item x="38"/>
        <item x="83"/>
        <item x="34"/>
        <item x="57"/>
        <item x="78"/>
        <item x="95"/>
        <item x="48"/>
        <item x="64"/>
        <item x="110"/>
        <item x="14"/>
        <item x="56"/>
        <item x="91"/>
        <item x="31"/>
        <item x="70"/>
        <item x="46"/>
        <item x="20"/>
        <item x="51"/>
        <item x="97"/>
        <item x="62"/>
        <item x="12"/>
        <item x="76"/>
        <item x="45"/>
        <item x="7"/>
        <item x="72"/>
        <item x="92"/>
        <item x="60"/>
        <item x="103"/>
        <item x="24"/>
        <item x="87"/>
        <item x="54"/>
        <item x="108"/>
        <item x="36"/>
        <item x="13"/>
        <item x="68"/>
        <item x="94"/>
        <item x="9"/>
        <item x="59"/>
        <item x="85"/>
        <item x="40"/>
        <item x="74"/>
        <item x="19"/>
        <item x="2"/>
        <item x="25"/>
        <item x="101"/>
        <item x="66"/>
        <item x="16"/>
        <item x="89"/>
        <item x="52"/>
        <item x="10"/>
        <item x="29"/>
        <item x="106"/>
        <item x="81"/>
        <item x="42"/>
        <item x="99"/>
        <item x="3"/>
        <item x="71"/>
        <item x="32"/>
        <item x="23"/>
        <item x="49"/>
        <item x="111"/>
        <item x="79"/>
        <item x="55"/>
        <item x="30"/>
        <item x="39"/>
        <item x="44"/>
        <item x="104"/>
        <item x="43"/>
        <item x="26"/>
        <item x="8"/>
        <item x="86"/>
        <item x="11"/>
        <item x="107"/>
        <item x="100"/>
        <item x="65"/>
        <item x="93"/>
        <item x="21"/>
        <item x="61"/>
        <item x="77"/>
        <item x="88"/>
        <item x="63"/>
        <item x="105"/>
        <item x="73"/>
        <item x="18"/>
        <item x="67"/>
        <item x="98"/>
        <item x="90"/>
        <item x="35"/>
        <item x="47"/>
        <item x="109"/>
        <item x="53"/>
        <item x="6"/>
        <item x="102"/>
        <item x="15"/>
        <item x="82"/>
        <item x="28"/>
        <item x="33"/>
        <item x="84"/>
        <item x="0"/>
        <item x="96"/>
        <item x="22"/>
        <item x="5"/>
        <item x="80"/>
        <item x="69"/>
        <item x="41"/>
        <item x="4"/>
        <item x="58"/>
        <item x="37"/>
        <item x="17"/>
        <item x="75"/>
        <item x="27"/>
        <item x="50"/>
        <item x="112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82">
        <item x="1"/>
        <item x="78"/>
        <item x="28"/>
        <item x="44"/>
        <item x="7"/>
        <item x="56"/>
        <item x="70"/>
        <item x="16"/>
        <item x="60"/>
        <item x="37"/>
        <item x="19"/>
        <item x="5"/>
        <item x="77"/>
        <item x="11"/>
        <item x="15"/>
        <item x="41"/>
        <item x="67"/>
        <item x="71"/>
        <item x="48"/>
        <item x="52"/>
        <item x="17"/>
        <item x="69"/>
        <item x="46"/>
        <item x="42"/>
        <item x="9"/>
        <item x="62"/>
        <item x="2"/>
        <item x="50"/>
        <item x="35"/>
        <item x="18"/>
        <item x="54"/>
        <item x="14"/>
        <item x="51"/>
        <item x="65"/>
        <item x="6"/>
        <item x="26"/>
        <item x="39"/>
        <item x="4"/>
        <item x="32"/>
        <item x="59"/>
        <item x="24"/>
        <item x="68"/>
        <item x="22"/>
        <item x="23"/>
        <item x="3"/>
        <item x="64"/>
        <item x="33"/>
        <item x="25"/>
        <item x="57"/>
        <item x="75"/>
        <item x="36"/>
        <item x="10"/>
        <item x="47"/>
        <item x="66"/>
        <item x="49"/>
        <item x="76"/>
        <item x="29"/>
        <item x="31"/>
        <item x="73"/>
        <item x="8"/>
        <item x="55"/>
        <item x="43"/>
        <item x="21"/>
        <item x="34"/>
        <item x="61"/>
        <item x="40"/>
        <item x="0"/>
        <item x="20"/>
        <item x="74"/>
        <item x="45"/>
        <item x="79"/>
        <item x="13"/>
        <item x="63"/>
        <item x="27"/>
        <item x="53"/>
        <item x="58"/>
        <item x="12"/>
        <item x="38"/>
        <item x="72"/>
        <item x="30"/>
        <item x="80"/>
        <item t="default"/>
      </items>
    </pivotField>
    <pivotField compact="0" showAll="0">
      <items count="100">
        <item x="1"/>
        <item x="32"/>
        <item x="7"/>
        <item x="50"/>
        <item x="63"/>
        <item x="15"/>
        <item x="16"/>
        <item x="80"/>
        <item x="66"/>
        <item x="42"/>
        <item x="5"/>
        <item x="20"/>
        <item x="11"/>
        <item x="90"/>
        <item x="81"/>
        <item x="95"/>
        <item x="46"/>
        <item x="76"/>
        <item x="54"/>
        <item x="58"/>
        <item x="18"/>
        <item x="52"/>
        <item x="78"/>
        <item x="19"/>
        <item x="9"/>
        <item x="48"/>
        <item x="2"/>
        <item x="59"/>
        <item x="97"/>
        <item x="68"/>
        <item x="56"/>
        <item x="57"/>
        <item x="4"/>
        <item x="74"/>
        <item x="40"/>
        <item x="26"/>
        <item x="37"/>
        <item x="61"/>
        <item x="14"/>
        <item x="88"/>
        <item x="89"/>
        <item x="44"/>
        <item x="84"/>
        <item x="6"/>
        <item x="36"/>
        <item x="72"/>
        <item x="27"/>
        <item x="93"/>
        <item x="3"/>
        <item x="30"/>
        <item x="77"/>
        <item x="47"/>
        <item x="29"/>
        <item x="25"/>
        <item x="22"/>
        <item x="64"/>
        <item x="71"/>
        <item x="38"/>
        <item x="70"/>
        <item x="24"/>
        <item x="17"/>
        <item x="41"/>
        <item x="10"/>
        <item x="94"/>
        <item x="86"/>
        <item x="53"/>
        <item x="55"/>
        <item x="75"/>
        <item x="28"/>
        <item x="87"/>
        <item x="33"/>
        <item x="35"/>
        <item x="83"/>
        <item x="8"/>
        <item x="92"/>
        <item x="49"/>
        <item x="62"/>
        <item x="79"/>
        <item x="67"/>
        <item x="23"/>
        <item x="39"/>
        <item x="45"/>
        <item x="91"/>
        <item x="73"/>
        <item x="0"/>
        <item x="21"/>
        <item x="85"/>
        <item x="51"/>
        <item x="96"/>
        <item x="60"/>
        <item x="13"/>
        <item x="69"/>
        <item x="31"/>
        <item x="65"/>
        <item x="12"/>
        <item x="82"/>
        <item x="43"/>
        <item x="34"/>
        <item x="98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67">
        <item x="1"/>
        <item x="14"/>
        <item x="18"/>
        <item x="32"/>
        <item x="6"/>
        <item x="46"/>
        <item x="25"/>
        <item x="50"/>
        <item x="10"/>
        <item x="61"/>
        <item x="45"/>
        <item x="2"/>
        <item x="38"/>
        <item x="42"/>
        <item x="7"/>
        <item x="48"/>
        <item x="35"/>
        <item x="58"/>
        <item x="4"/>
        <item x="53"/>
        <item x="9"/>
        <item x="56"/>
        <item x="29"/>
        <item x="20"/>
        <item x="5"/>
        <item x="52"/>
        <item x="63"/>
        <item x="26"/>
        <item x="13"/>
        <item x="16"/>
        <item x="36"/>
        <item x="0"/>
        <item x="43"/>
        <item x="28"/>
        <item x="22"/>
        <item x="19"/>
        <item x="39"/>
        <item x="57"/>
        <item x="34"/>
        <item x="23"/>
        <item x="15"/>
        <item x="62"/>
        <item x="30"/>
        <item x="54"/>
        <item x="21"/>
        <item x="40"/>
        <item x="3"/>
        <item x="37"/>
        <item x="24"/>
        <item x="41"/>
        <item x="64"/>
        <item x="55"/>
        <item x="17"/>
        <item x="49"/>
        <item x="60"/>
        <item x="31"/>
        <item x="12"/>
        <item x="51"/>
        <item x="33"/>
        <item x="11"/>
        <item x="27"/>
        <item x="59"/>
        <item x="44"/>
        <item x="47"/>
        <item x="8"/>
        <item x="65"/>
        <item t="default"/>
      </items>
    </pivotField>
    <pivotField compact="0" showAll="0">
      <items count="82">
        <item x="1"/>
        <item x="14"/>
        <item x="19"/>
        <item x="38"/>
        <item x="6"/>
        <item x="56"/>
        <item x="29"/>
        <item x="60"/>
        <item x="10"/>
        <item x="76"/>
        <item x="54"/>
        <item x="44"/>
        <item x="2"/>
        <item x="24"/>
        <item x="48"/>
        <item x="27"/>
        <item x="7"/>
        <item x="58"/>
        <item x="41"/>
        <item x="69"/>
        <item x="4"/>
        <item x="17"/>
        <item x="52"/>
        <item x="64"/>
        <item x="49"/>
        <item x="33"/>
        <item x="9"/>
        <item x="34"/>
        <item x="67"/>
        <item x="50"/>
        <item x="21"/>
        <item x="5"/>
        <item x="73"/>
        <item x="63"/>
        <item x="62"/>
        <item x="78"/>
        <item x="30"/>
        <item x="13"/>
        <item x="35"/>
        <item x="23"/>
        <item x="16"/>
        <item x="0"/>
        <item x="42"/>
        <item x="51"/>
        <item x="74"/>
        <item x="32"/>
        <item x="20"/>
        <item x="25"/>
        <item x="45"/>
        <item x="40"/>
        <item x="68"/>
        <item x="26"/>
        <item x="55"/>
        <item x="36"/>
        <item x="15"/>
        <item x="77"/>
        <item x="65"/>
        <item x="22"/>
        <item x="71"/>
        <item x="46"/>
        <item x="3"/>
        <item x="43"/>
        <item x="28"/>
        <item x="75"/>
        <item x="47"/>
        <item x="79"/>
        <item x="66"/>
        <item x="18"/>
        <item x="59"/>
        <item x="72"/>
        <item x="37"/>
        <item x="12"/>
        <item x="61"/>
        <item x="39"/>
        <item x="11"/>
        <item x="31"/>
        <item x="70"/>
        <item x="53"/>
        <item x="57"/>
        <item x="8"/>
        <item x="8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68">
        <item x="1"/>
        <item x="30"/>
        <item x="18"/>
        <item x="6"/>
        <item x="22"/>
        <item x="5"/>
        <item x="9"/>
        <item x="16"/>
        <item x="14"/>
        <item x="7"/>
        <item x="28"/>
        <item x="46"/>
        <item x="20"/>
        <item x="2"/>
        <item x="11"/>
        <item x="15"/>
        <item x="64"/>
        <item x="27"/>
        <item x="42"/>
        <item x="49"/>
        <item x="39"/>
        <item x="47"/>
        <item x="44"/>
        <item x="25"/>
        <item x="35"/>
        <item x="10"/>
        <item x="58"/>
        <item x="26"/>
        <item x="33"/>
        <item x="52"/>
        <item x="23"/>
        <item x="48"/>
        <item x="36"/>
        <item x="43"/>
        <item x="4"/>
        <item x="61"/>
        <item x="41"/>
        <item x="17"/>
        <item x="59"/>
        <item x="34"/>
        <item x="51"/>
        <item x="24"/>
        <item x="56"/>
        <item x="63"/>
        <item x="31"/>
        <item x="3"/>
        <item x="19"/>
        <item x="40"/>
        <item x="65"/>
        <item x="54"/>
        <item x="29"/>
        <item x="57"/>
        <item x="0"/>
        <item x="37"/>
        <item x="55"/>
        <item x="21"/>
        <item x="62"/>
        <item x="45"/>
        <item x="13"/>
        <item x="38"/>
        <item x="8"/>
        <item x="60"/>
        <item x="32"/>
        <item x="53"/>
        <item x="50"/>
        <item x="12"/>
        <item x="66"/>
        <item t="default"/>
      </items>
    </pivotField>
    <pivotField compact="0" showAll="0">
      <items count="35">
        <item x="1"/>
        <item x="5"/>
        <item x="6"/>
        <item x="7"/>
        <item x="10"/>
        <item x="2"/>
        <item x="27"/>
        <item x="9"/>
        <item x="22"/>
        <item x="17"/>
        <item x="18"/>
        <item x="29"/>
        <item x="4"/>
        <item x="13"/>
        <item x="26"/>
        <item x="21"/>
        <item x="16"/>
        <item x="3"/>
        <item x="32"/>
        <item x="24"/>
        <item x="14"/>
        <item x="25"/>
        <item x="19"/>
        <item x="15"/>
        <item x="30"/>
        <item x="28"/>
        <item x="12"/>
        <item x="0"/>
        <item x="23"/>
        <item x="31"/>
        <item x="20"/>
        <item x="8"/>
        <item x="11"/>
        <item x="33"/>
        <item t="default"/>
      </items>
    </pivotField>
    <pivotField compact="0" showAll="0">
      <items count="57">
        <item x="43"/>
        <item x="27"/>
        <item x="49"/>
        <item x="41"/>
        <item x="52"/>
        <item x="10"/>
        <item x="19"/>
        <item x="11"/>
        <item x="39"/>
        <item x="32"/>
        <item x="7"/>
        <item x="45"/>
        <item x="44"/>
        <item x="47"/>
        <item x="54"/>
        <item x="17"/>
        <item x="26"/>
        <item x="3"/>
        <item x="34"/>
        <item x="15"/>
        <item x="29"/>
        <item x="21"/>
        <item x="50"/>
        <item x="42"/>
        <item x="53"/>
        <item x="46"/>
        <item x="33"/>
        <item x="35"/>
        <item x="51"/>
        <item x="4"/>
        <item x="0"/>
        <item x="5"/>
        <item x="37"/>
        <item x="14"/>
        <item x="18"/>
        <item x="48"/>
        <item x="30"/>
        <item x="28"/>
        <item x="8"/>
        <item x="31"/>
        <item x="36"/>
        <item x="9"/>
        <item x="25"/>
        <item x="13"/>
        <item x="38"/>
        <item x="40"/>
        <item x="22"/>
        <item x="23"/>
        <item x="6"/>
        <item x="20"/>
        <item x="24"/>
        <item x="12"/>
        <item x="2"/>
        <item x="16"/>
        <item x="1"/>
        <item x="55"/>
        <item t="default"/>
      </items>
    </pivotField>
    <pivotField compact="0" showAll="0">
      <items count="4">
        <item x="1"/>
        <item x="0"/>
        <item x="2"/>
        <item t="default"/>
      </items>
    </pivotField>
    <pivotField dataField="1" compact="0" showAll="0">
      <items count="70">
        <item x="1"/>
        <item x="22"/>
        <item x="45"/>
        <item x="32"/>
        <item x="14"/>
        <item x="18"/>
        <item x="29"/>
        <item x="7"/>
        <item x="36"/>
        <item x="5"/>
        <item x="11"/>
        <item x="40"/>
        <item x="50"/>
        <item x="24"/>
        <item x="26"/>
        <item x="44"/>
        <item x="38"/>
        <item x="49"/>
        <item x="16"/>
        <item x="54"/>
        <item x="42"/>
        <item x="6"/>
        <item x="27"/>
        <item x="20"/>
        <item x="55"/>
        <item x="64"/>
        <item x="47"/>
        <item x="2"/>
        <item x="58"/>
        <item x="23"/>
        <item x="15"/>
        <item x="9"/>
        <item x="33"/>
        <item x="53"/>
        <item x="25"/>
        <item x="46"/>
        <item x="66"/>
        <item x="4"/>
        <item x="41"/>
        <item x="17"/>
        <item x="35"/>
        <item x="0"/>
        <item x="62"/>
        <item x="10"/>
        <item x="19"/>
        <item x="34"/>
        <item x="61"/>
        <item x="13"/>
        <item x="56"/>
        <item x="37"/>
        <item x="59"/>
        <item x="28"/>
        <item x="63"/>
        <item x="12"/>
        <item x="43"/>
        <item x="3"/>
        <item x="65"/>
        <item x="48"/>
        <item x="60"/>
        <item x="21"/>
        <item x="51"/>
        <item x="30"/>
        <item x="31"/>
        <item x="57"/>
        <item x="52"/>
        <item x="8"/>
        <item x="67"/>
        <item x="39"/>
        <item x="68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insurance_premium" fld="1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02:B109" firstHeaderRow="1" firstDataRow="1" firstDataCol="1"/>
  <pivotFields count="22">
    <pivotField compact="0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compact="0" showAll="0">
      <items count="121">
        <item x="100"/>
        <item x="69"/>
        <item x="15"/>
        <item x="101"/>
        <item x="42"/>
        <item x="2"/>
        <item x="3"/>
        <item x="26"/>
        <item x="24"/>
        <item x="33"/>
        <item x="108"/>
        <item x="51"/>
        <item x="16"/>
        <item x="30"/>
        <item x="113"/>
        <item x="13"/>
        <item x="110"/>
        <item x="39"/>
        <item x="7"/>
        <item x="111"/>
        <item x="36"/>
        <item x="88"/>
        <item x="105"/>
        <item x="85"/>
        <item x="9"/>
        <item x="55"/>
        <item x="1"/>
        <item x="67"/>
        <item x="104"/>
        <item x="48"/>
        <item x="21"/>
        <item x="116"/>
        <item x="31"/>
        <item x="34"/>
        <item x="76"/>
        <item x="96"/>
        <item x="53"/>
        <item x="27"/>
        <item x="84"/>
        <item x="56"/>
        <item x="77"/>
        <item x="25"/>
        <item x="98"/>
        <item x="44"/>
        <item x="103"/>
        <item x="75"/>
        <item x="22"/>
        <item x="86"/>
        <item x="93"/>
        <item x="82"/>
        <item x="89"/>
        <item x="72"/>
        <item x="119"/>
        <item x="115"/>
        <item x="70"/>
        <item x="8"/>
        <item x="29"/>
        <item x="102"/>
        <item x="18"/>
        <item x="11"/>
        <item x="74"/>
        <item x="54"/>
        <item x="90"/>
        <item x="107"/>
        <item x="20"/>
        <item x="41"/>
        <item x="66"/>
        <item x="79"/>
        <item x="0"/>
        <item x="52"/>
        <item x="78"/>
        <item x="57"/>
        <item x="10"/>
        <item x="114"/>
        <item x="38"/>
        <item x="6"/>
        <item x="37"/>
        <item x="49"/>
        <item x="63"/>
        <item x="47"/>
        <item x="59"/>
        <item x="94"/>
        <item x="62"/>
        <item x="87"/>
        <item x="32"/>
        <item x="50"/>
        <item x="60"/>
        <item x="71"/>
        <item x="4"/>
        <item x="45"/>
        <item x="81"/>
        <item x="35"/>
        <item x="97"/>
        <item x="65"/>
        <item x="64"/>
        <item x="80"/>
        <item x="19"/>
        <item x="118"/>
        <item x="61"/>
        <item x="99"/>
        <item x="95"/>
        <item x="5"/>
        <item x="106"/>
        <item x="83"/>
        <item x="92"/>
        <item x="17"/>
        <item x="14"/>
        <item x="46"/>
        <item x="28"/>
        <item x="91"/>
        <item x="73"/>
        <item x="40"/>
        <item x="23"/>
        <item x="68"/>
        <item x="58"/>
        <item x="117"/>
        <item x="112"/>
        <item x="43"/>
        <item x="12"/>
        <item x="109"/>
        <item t="default"/>
      </items>
    </pivotField>
    <pivotField compact="0" showAll="0">
      <items count="73">
        <item x="65"/>
        <item x="36"/>
        <item x="6"/>
        <item x="66"/>
        <item x="27"/>
        <item x="4"/>
        <item x="11"/>
        <item x="18"/>
        <item x="15"/>
        <item x="5"/>
        <item x="24"/>
        <item x="21"/>
        <item x="55"/>
        <item x="70"/>
        <item x="52"/>
        <item x="69"/>
        <item x="33"/>
        <item x="16"/>
        <item x="19"/>
        <item x="43"/>
        <item x="62"/>
        <item x="51"/>
        <item x="44"/>
        <item x="12"/>
        <item x="63"/>
        <item x="29"/>
        <item x="68"/>
        <item x="42"/>
        <item x="10"/>
        <item x="53"/>
        <item x="49"/>
        <item x="56"/>
        <item x="39"/>
        <item x="37"/>
        <item x="14"/>
        <item x="67"/>
        <item x="8"/>
        <item x="41"/>
        <item x="57"/>
        <item x="9"/>
        <item x="26"/>
        <item x="46"/>
        <item x="45"/>
        <item x="0"/>
        <item x="23"/>
        <item x="2"/>
        <item x="22"/>
        <item x="34"/>
        <item x="3"/>
        <item x="32"/>
        <item x="60"/>
        <item x="54"/>
        <item x="17"/>
        <item x="38"/>
        <item x="1"/>
        <item x="30"/>
        <item x="48"/>
        <item x="20"/>
        <item x="47"/>
        <item x="64"/>
        <item x="61"/>
        <item x="71"/>
        <item x="50"/>
        <item x="59"/>
        <item x="7"/>
        <item x="31"/>
        <item x="13"/>
        <item x="58"/>
        <item x="40"/>
        <item x="25"/>
        <item x="35"/>
        <item x="28"/>
        <item t="default"/>
      </items>
    </pivotField>
    <pivotField compact="0" showAll="0">
      <items count="31">
        <item x="18"/>
        <item x="28"/>
        <item x="14"/>
        <item x="12"/>
        <item x="19"/>
        <item x="1"/>
        <item x="21"/>
        <item x="4"/>
        <item x="11"/>
        <item x="22"/>
        <item x="20"/>
        <item x="15"/>
        <item x="2"/>
        <item x="10"/>
        <item x="8"/>
        <item x="0"/>
        <item x="23"/>
        <item x="24"/>
        <item x="26"/>
        <item x="27"/>
        <item x="13"/>
        <item x="17"/>
        <item x="7"/>
        <item x="29"/>
        <item x="3"/>
        <item x="9"/>
        <item x="25"/>
        <item x="6"/>
        <item x="16"/>
        <item x="5"/>
        <item t="default"/>
      </items>
    </pivotField>
    <pivotField axis="axisRow" compact="0" showAll="0">
      <items count="7">
        <item x="4"/>
        <item x="3"/>
        <item x="5"/>
        <item x="1"/>
        <item x="2"/>
        <item x="0"/>
        <item t="default"/>
      </items>
    </pivotField>
    <pivotField compact="0" showAll="0">
      <items count="6">
        <item x="1"/>
        <item x="0"/>
        <item x="2"/>
        <item x="4"/>
        <item x="3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13">
        <item x="1"/>
        <item x="38"/>
        <item x="83"/>
        <item x="34"/>
        <item x="57"/>
        <item x="78"/>
        <item x="95"/>
        <item x="48"/>
        <item x="64"/>
        <item x="110"/>
        <item x="14"/>
        <item x="56"/>
        <item x="91"/>
        <item x="31"/>
        <item x="70"/>
        <item x="46"/>
        <item x="20"/>
        <item x="51"/>
        <item x="97"/>
        <item x="62"/>
        <item x="12"/>
        <item x="76"/>
        <item x="45"/>
        <item x="7"/>
        <item x="72"/>
        <item x="92"/>
        <item x="60"/>
        <item x="103"/>
        <item x="24"/>
        <item x="87"/>
        <item x="54"/>
        <item x="108"/>
        <item x="36"/>
        <item x="13"/>
        <item x="68"/>
        <item x="94"/>
        <item x="9"/>
        <item x="59"/>
        <item x="85"/>
        <item x="40"/>
        <item x="74"/>
        <item x="19"/>
        <item x="2"/>
        <item x="25"/>
        <item x="101"/>
        <item x="66"/>
        <item x="16"/>
        <item x="89"/>
        <item x="52"/>
        <item x="10"/>
        <item x="29"/>
        <item x="106"/>
        <item x="81"/>
        <item x="42"/>
        <item x="99"/>
        <item x="3"/>
        <item x="71"/>
        <item x="32"/>
        <item x="23"/>
        <item x="49"/>
        <item x="111"/>
        <item x="79"/>
        <item x="55"/>
        <item x="30"/>
        <item x="39"/>
        <item x="44"/>
        <item x="104"/>
        <item x="43"/>
        <item x="26"/>
        <item x="8"/>
        <item x="86"/>
        <item x="11"/>
        <item x="107"/>
        <item x="100"/>
        <item x="65"/>
        <item x="93"/>
        <item x="21"/>
        <item x="61"/>
        <item x="77"/>
        <item x="88"/>
        <item x="63"/>
        <item x="105"/>
        <item x="73"/>
        <item x="18"/>
        <item x="67"/>
        <item x="98"/>
        <item x="90"/>
        <item x="35"/>
        <item x="47"/>
        <item x="109"/>
        <item x="53"/>
        <item x="6"/>
        <item x="102"/>
        <item x="15"/>
        <item x="82"/>
        <item x="28"/>
        <item x="33"/>
        <item x="84"/>
        <item x="0"/>
        <item x="96"/>
        <item x="22"/>
        <item x="5"/>
        <item x="80"/>
        <item x="69"/>
        <item x="41"/>
        <item x="4"/>
        <item x="58"/>
        <item x="37"/>
        <item x="17"/>
        <item x="75"/>
        <item x="27"/>
        <item x="5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81">
        <item x="1"/>
        <item x="78"/>
        <item x="28"/>
        <item x="44"/>
        <item x="7"/>
        <item x="56"/>
        <item x="70"/>
        <item x="16"/>
        <item x="60"/>
        <item x="37"/>
        <item x="19"/>
        <item x="5"/>
        <item x="77"/>
        <item x="11"/>
        <item x="15"/>
        <item x="41"/>
        <item x="67"/>
        <item x="71"/>
        <item x="48"/>
        <item x="52"/>
        <item x="17"/>
        <item x="69"/>
        <item x="46"/>
        <item x="42"/>
        <item x="9"/>
        <item x="62"/>
        <item x="2"/>
        <item x="50"/>
        <item x="35"/>
        <item x="18"/>
        <item x="54"/>
        <item x="14"/>
        <item x="51"/>
        <item x="65"/>
        <item x="6"/>
        <item x="26"/>
        <item x="39"/>
        <item x="4"/>
        <item x="32"/>
        <item x="59"/>
        <item x="24"/>
        <item x="68"/>
        <item x="22"/>
        <item x="23"/>
        <item x="3"/>
        <item x="64"/>
        <item x="33"/>
        <item x="25"/>
        <item x="57"/>
        <item x="75"/>
        <item x="36"/>
        <item x="10"/>
        <item x="47"/>
        <item x="66"/>
        <item x="49"/>
        <item x="76"/>
        <item x="29"/>
        <item x="31"/>
        <item x="73"/>
        <item x="8"/>
        <item x="55"/>
        <item x="43"/>
        <item x="21"/>
        <item x="34"/>
        <item x="61"/>
        <item x="40"/>
        <item x="0"/>
        <item x="20"/>
        <item x="74"/>
        <item x="45"/>
        <item x="79"/>
        <item x="13"/>
        <item x="63"/>
        <item x="27"/>
        <item x="53"/>
        <item x="58"/>
        <item x="12"/>
        <item x="38"/>
        <item x="72"/>
        <item x="30"/>
        <item t="default"/>
      </items>
    </pivotField>
    <pivotField compact="0" showAll="0">
      <items count="99">
        <item x="1"/>
        <item x="32"/>
        <item x="7"/>
        <item x="50"/>
        <item x="63"/>
        <item x="15"/>
        <item x="16"/>
        <item x="80"/>
        <item x="66"/>
        <item x="42"/>
        <item x="5"/>
        <item x="20"/>
        <item x="11"/>
        <item x="90"/>
        <item x="81"/>
        <item x="95"/>
        <item x="46"/>
        <item x="76"/>
        <item x="54"/>
        <item x="58"/>
        <item x="18"/>
        <item x="52"/>
        <item x="78"/>
        <item x="19"/>
        <item x="9"/>
        <item x="48"/>
        <item x="2"/>
        <item x="59"/>
        <item x="97"/>
        <item x="68"/>
        <item x="56"/>
        <item x="57"/>
        <item x="4"/>
        <item x="74"/>
        <item x="40"/>
        <item x="26"/>
        <item x="37"/>
        <item x="61"/>
        <item x="14"/>
        <item x="88"/>
        <item x="89"/>
        <item x="44"/>
        <item x="84"/>
        <item x="6"/>
        <item x="36"/>
        <item x="72"/>
        <item x="27"/>
        <item x="93"/>
        <item x="3"/>
        <item x="30"/>
        <item x="77"/>
        <item x="47"/>
        <item x="29"/>
        <item x="25"/>
        <item x="22"/>
        <item x="64"/>
        <item x="71"/>
        <item x="38"/>
        <item x="70"/>
        <item x="24"/>
        <item x="17"/>
        <item x="41"/>
        <item x="10"/>
        <item x="94"/>
        <item x="86"/>
        <item x="53"/>
        <item x="55"/>
        <item x="75"/>
        <item x="28"/>
        <item x="87"/>
        <item x="33"/>
        <item x="35"/>
        <item x="83"/>
        <item x="8"/>
        <item x="92"/>
        <item x="49"/>
        <item x="62"/>
        <item x="79"/>
        <item x="67"/>
        <item x="23"/>
        <item x="39"/>
        <item x="45"/>
        <item x="91"/>
        <item x="73"/>
        <item x="0"/>
        <item x="21"/>
        <item x="85"/>
        <item x="51"/>
        <item x="96"/>
        <item x="60"/>
        <item x="13"/>
        <item x="69"/>
        <item x="31"/>
        <item x="65"/>
        <item x="12"/>
        <item x="82"/>
        <item x="43"/>
        <item x="34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66">
        <item x="1"/>
        <item x="14"/>
        <item x="18"/>
        <item x="32"/>
        <item x="6"/>
        <item x="46"/>
        <item x="25"/>
        <item x="50"/>
        <item x="10"/>
        <item x="61"/>
        <item x="45"/>
        <item x="2"/>
        <item x="38"/>
        <item x="42"/>
        <item x="7"/>
        <item x="48"/>
        <item x="35"/>
        <item x="58"/>
        <item x="4"/>
        <item x="53"/>
        <item x="9"/>
        <item x="56"/>
        <item x="29"/>
        <item x="20"/>
        <item x="5"/>
        <item x="52"/>
        <item x="63"/>
        <item x="26"/>
        <item x="13"/>
        <item x="16"/>
        <item x="36"/>
        <item x="0"/>
        <item x="43"/>
        <item x="28"/>
        <item x="22"/>
        <item x="19"/>
        <item x="39"/>
        <item x="57"/>
        <item x="34"/>
        <item x="23"/>
        <item x="15"/>
        <item x="62"/>
        <item x="30"/>
        <item x="54"/>
        <item x="21"/>
        <item x="40"/>
        <item x="3"/>
        <item x="37"/>
        <item x="24"/>
        <item x="41"/>
        <item x="64"/>
        <item x="55"/>
        <item x="17"/>
        <item x="49"/>
        <item x="60"/>
        <item x="31"/>
        <item x="12"/>
        <item x="51"/>
        <item x="33"/>
        <item x="11"/>
        <item x="27"/>
        <item x="59"/>
        <item x="44"/>
        <item x="47"/>
        <item x="8"/>
        <item t="default"/>
      </items>
    </pivotField>
    <pivotField compact="0" showAll="0">
      <items count="81">
        <item x="1"/>
        <item x="14"/>
        <item x="19"/>
        <item x="38"/>
        <item x="6"/>
        <item x="56"/>
        <item x="29"/>
        <item x="60"/>
        <item x="10"/>
        <item x="76"/>
        <item x="54"/>
        <item x="44"/>
        <item x="2"/>
        <item x="24"/>
        <item x="48"/>
        <item x="27"/>
        <item x="7"/>
        <item x="58"/>
        <item x="41"/>
        <item x="69"/>
        <item x="4"/>
        <item x="17"/>
        <item x="52"/>
        <item x="64"/>
        <item x="49"/>
        <item x="33"/>
        <item x="9"/>
        <item x="34"/>
        <item x="67"/>
        <item x="50"/>
        <item x="21"/>
        <item x="5"/>
        <item x="73"/>
        <item x="63"/>
        <item x="62"/>
        <item x="78"/>
        <item x="30"/>
        <item x="13"/>
        <item x="35"/>
        <item x="23"/>
        <item x="16"/>
        <item x="0"/>
        <item x="42"/>
        <item x="51"/>
        <item x="74"/>
        <item x="32"/>
        <item x="20"/>
        <item x="25"/>
        <item x="45"/>
        <item x="40"/>
        <item x="68"/>
        <item x="26"/>
        <item x="55"/>
        <item x="36"/>
        <item x="15"/>
        <item x="77"/>
        <item x="65"/>
        <item x="22"/>
        <item x="71"/>
        <item x="46"/>
        <item x="3"/>
        <item x="43"/>
        <item x="28"/>
        <item x="75"/>
        <item x="47"/>
        <item x="79"/>
        <item x="66"/>
        <item x="18"/>
        <item x="59"/>
        <item x="72"/>
        <item x="37"/>
        <item x="12"/>
        <item x="61"/>
        <item x="39"/>
        <item x="11"/>
        <item x="31"/>
        <item x="70"/>
        <item x="53"/>
        <item x="57"/>
        <item x="8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7">
        <item x="1"/>
        <item x="30"/>
        <item x="18"/>
        <item x="6"/>
        <item x="22"/>
        <item x="5"/>
        <item x="9"/>
        <item x="16"/>
        <item x="14"/>
        <item x="7"/>
        <item x="28"/>
        <item x="46"/>
        <item x="20"/>
        <item x="2"/>
        <item x="11"/>
        <item x="15"/>
        <item x="64"/>
        <item x="27"/>
        <item x="42"/>
        <item x="49"/>
        <item x="39"/>
        <item x="47"/>
        <item x="44"/>
        <item x="25"/>
        <item x="35"/>
        <item x="10"/>
        <item x="58"/>
        <item x="26"/>
        <item x="33"/>
        <item x="52"/>
        <item x="23"/>
        <item x="48"/>
        <item x="36"/>
        <item x="43"/>
        <item x="4"/>
        <item x="61"/>
        <item x="41"/>
        <item x="17"/>
        <item x="59"/>
        <item x="34"/>
        <item x="51"/>
        <item x="24"/>
        <item x="56"/>
        <item x="63"/>
        <item x="31"/>
        <item x="3"/>
        <item x="19"/>
        <item x="40"/>
        <item x="65"/>
        <item x="54"/>
        <item x="29"/>
        <item x="57"/>
        <item x="0"/>
        <item x="37"/>
        <item x="55"/>
        <item x="21"/>
        <item x="62"/>
        <item x="45"/>
        <item x="13"/>
        <item x="38"/>
        <item x="8"/>
        <item x="60"/>
        <item x="32"/>
        <item x="53"/>
        <item x="50"/>
        <item x="12"/>
        <item t="default"/>
      </items>
    </pivotField>
    <pivotField compact="0" showAll="0">
      <items count="34">
        <item x="1"/>
        <item x="5"/>
        <item x="6"/>
        <item x="7"/>
        <item x="10"/>
        <item x="2"/>
        <item x="27"/>
        <item x="9"/>
        <item x="22"/>
        <item x="17"/>
        <item x="18"/>
        <item x="29"/>
        <item x="4"/>
        <item x="13"/>
        <item x="26"/>
        <item x="21"/>
        <item x="16"/>
        <item x="3"/>
        <item x="32"/>
        <item x="24"/>
        <item x="14"/>
        <item x="25"/>
        <item x="19"/>
        <item x="15"/>
        <item x="30"/>
        <item x="28"/>
        <item x="12"/>
        <item x="0"/>
        <item x="23"/>
        <item x="31"/>
        <item x="20"/>
        <item x="8"/>
        <item x="11"/>
        <item t="default"/>
      </items>
    </pivotField>
    <pivotField compact="0" showAll="0">
      <items count="56">
        <item x="43"/>
        <item x="27"/>
        <item x="49"/>
        <item x="41"/>
        <item x="52"/>
        <item x="10"/>
        <item x="19"/>
        <item x="11"/>
        <item x="39"/>
        <item x="32"/>
        <item x="7"/>
        <item x="45"/>
        <item x="44"/>
        <item x="47"/>
        <item x="54"/>
        <item x="17"/>
        <item x="26"/>
        <item x="3"/>
        <item x="34"/>
        <item x="15"/>
        <item x="29"/>
        <item x="21"/>
        <item x="50"/>
        <item x="42"/>
        <item x="53"/>
        <item x="46"/>
        <item x="33"/>
        <item x="35"/>
        <item x="51"/>
        <item x="4"/>
        <item x="0"/>
        <item x="5"/>
        <item x="37"/>
        <item x="14"/>
        <item x="18"/>
        <item x="48"/>
        <item x="30"/>
        <item x="28"/>
        <item x="8"/>
        <item x="31"/>
        <item x="36"/>
        <item x="9"/>
        <item x="25"/>
        <item x="13"/>
        <item x="38"/>
        <item x="40"/>
        <item x="22"/>
        <item x="23"/>
        <item x="6"/>
        <item x="20"/>
        <item x="24"/>
        <item x="12"/>
        <item x="2"/>
        <item x="16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9">
        <item x="1"/>
        <item x="22"/>
        <item x="45"/>
        <item x="32"/>
        <item x="14"/>
        <item x="18"/>
        <item x="29"/>
        <item x="7"/>
        <item x="36"/>
        <item x="5"/>
        <item x="11"/>
        <item x="40"/>
        <item x="50"/>
        <item x="24"/>
        <item x="26"/>
        <item x="44"/>
        <item x="38"/>
        <item x="49"/>
        <item x="16"/>
        <item x="54"/>
        <item x="42"/>
        <item x="6"/>
        <item x="27"/>
        <item x="20"/>
        <item x="55"/>
        <item x="64"/>
        <item x="47"/>
        <item x="2"/>
        <item x="58"/>
        <item x="23"/>
        <item x="15"/>
        <item x="9"/>
        <item x="33"/>
        <item x="53"/>
        <item x="25"/>
        <item x="46"/>
        <item x="66"/>
        <item x="4"/>
        <item x="41"/>
        <item x="17"/>
        <item x="35"/>
        <item x="0"/>
        <item x="62"/>
        <item x="10"/>
        <item x="19"/>
        <item x="34"/>
        <item x="61"/>
        <item x="13"/>
        <item x="56"/>
        <item x="37"/>
        <item x="59"/>
        <item x="28"/>
        <item x="63"/>
        <item x="12"/>
        <item x="43"/>
        <item x="3"/>
        <item x="65"/>
        <item x="48"/>
        <item x="60"/>
        <item x="21"/>
        <item x="51"/>
        <item x="30"/>
        <item x="31"/>
        <item x="57"/>
        <item x="52"/>
        <item x="8"/>
        <item x="67"/>
        <item x="39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">
        <item x="1"/>
        <item x="0"/>
        <item x="2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fd_amount" fld="1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te_name" sourceName="state_name">
  <pivotTables>
    <pivotTable tabId="1" name="PivotTable15"/>
  </pivotTables>
  <data>
    <tabular pivotCacheId="2">
      <items count="31">
        <i x="18" s="1"/>
        <i x="28" s="1"/>
        <i x="14" s="1"/>
        <i x="12" s="1"/>
        <i x="19" s="1"/>
        <i x="1" s="1"/>
        <i x="21" s="0"/>
        <i x="4" s="0"/>
        <i x="11" s="0"/>
        <i x="22" s="0"/>
        <i x="20" s="0"/>
        <i x="15" s="0"/>
        <i x="2" s="0"/>
        <i x="10" s="0"/>
        <i x="8" s="0"/>
        <i x="0" s="0"/>
        <i x="23" s="0"/>
        <i x="24" s="0"/>
        <i x="26" s="0"/>
        <i x="27" s="0"/>
        <i x="13" s="0"/>
        <i x="17" s="0"/>
        <i x="7" s="0"/>
        <i x="29" s="0"/>
        <i x="3" s="0"/>
        <i x="9" s="0"/>
        <i x="25" s="0"/>
        <i x="6" s="0"/>
        <i x="16" s="0"/>
        <i x="5" s="0"/>
        <i x="30" s="0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_name" sourceName="region_name">
  <pivotTables>
    <pivotTable tabId="1" name="PivotTable13"/>
    <pivotTable tabId="1" name="PivotTable16"/>
  </pivotTables>
  <data>
    <tabular pivotCacheId="1">
      <items count="6">
        <i x="4" s="1"/>
        <i x="3" s="1"/>
        <i x="5" s="1"/>
        <i x="1" s="1"/>
        <i x="2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branch_name1" sourceName="branch_name">
  <pivotTables>
    <pivotTable tabId="1" name="PivotTable12"/>
  </pivotTables>
  <data>
    <tabular pivotCacheId="1">
      <items count="120">
        <i x="100" s="0"/>
        <i x="69" s="0"/>
        <i x="15" s="0"/>
        <i x="101" s="0"/>
        <i x="42" s="0"/>
        <i x="2" s="0"/>
        <i x="3" s="0"/>
        <i x="26" s="0"/>
        <i x="24" s="0"/>
        <i x="33" s="1"/>
        <i x="108" s="1"/>
        <i x="51" s="1"/>
        <i x="16" s="1"/>
        <i x="30" s="1"/>
        <i x="113" s="1"/>
        <i x="13" s="0"/>
        <i x="110" s="0"/>
        <i x="39" s="0"/>
        <i x="7" s="0"/>
        <i x="111" s="0"/>
        <i x="36" s="0"/>
        <i x="88" s="0"/>
        <i x="105" s="0"/>
        <i x="85" s="0"/>
        <i x="9" s="0"/>
        <i x="55" s="0"/>
        <i x="1" s="0"/>
        <i x="67" s="0"/>
        <i x="104" s="0"/>
        <i x="48" s="0"/>
        <i x="21" s="0"/>
        <i x="116" s="0"/>
        <i x="31" s="0"/>
        <i x="34" s="0"/>
        <i x="76" s="0"/>
        <i x="96" s="0"/>
        <i x="53" s="0"/>
        <i x="27" s="0"/>
        <i x="84" s="0"/>
        <i x="56" s="0"/>
        <i x="77" s="0"/>
        <i x="25" s="0"/>
        <i x="98" s="0"/>
        <i x="44" s="0"/>
        <i x="103" s="0"/>
        <i x="75" s="0"/>
        <i x="22" s="0"/>
        <i x="86" s="0"/>
        <i x="93" s="0"/>
        <i x="82" s="0"/>
        <i x="89" s="0"/>
        <i x="72" s="0"/>
        <i x="119" s="0"/>
        <i x="115" s="0"/>
        <i x="70" s="0"/>
        <i x="8" s="0"/>
        <i x="29" s="0"/>
        <i x="102" s="0"/>
        <i x="18" s="0"/>
        <i x="11" s="0"/>
        <i x="74" s="0"/>
        <i x="54" s="0"/>
        <i x="90" s="0"/>
        <i x="107" s="0"/>
        <i x="20" s="0"/>
        <i x="41" s="0"/>
        <i x="66" s="0"/>
        <i x="79" s="0"/>
        <i x="0" s="0"/>
        <i x="52" s="0"/>
        <i x="78" s="0"/>
        <i x="57" s="0"/>
        <i x="10" s="0"/>
        <i x="114" s="0"/>
        <i x="38" s="0"/>
        <i x="6" s="0"/>
        <i x="37" s="0"/>
        <i x="49" s="0"/>
        <i x="63" s="0"/>
        <i x="47" s="0"/>
        <i x="59" s="0"/>
        <i x="94" s="0"/>
        <i x="62" s="0"/>
        <i x="87" s="0"/>
        <i x="32" s="0"/>
        <i x="50" s="0"/>
        <i x="60" s="0"/>
        <i x="71" s="0"/>
        <i x="4" s="0"/>
        <i x="45" s="0"/>
        <i x="81" s="0"/>
        <i x="35" s="0"/>
        <i x="97" s="0"/>
        <i x="65" s="0"/>
        <i x="64" s="0"/>
        <i x="80" s="0"/>
        <i x="19" s="0"/>
        <i x="118" s="0"/>
        <i x="61" s="0"/>
        <i x="99" s="0"/>
        <i x="95" s="0"/>
        <i x="5" s="0"/>
        <i x="106" s="0"/>
        <i x="83" s="0"/>
        <i x="92" s="0"/>
        <i x="17" s="0"/>
        <i x="14" s="0"/>
        <i x="46" s="0"/>
        <i x="28" s="0"/>
        <i x="91" s="0"/>
        <i x="73" s="0"/>
        <i x="40" s="0"/>
        <i x="23" s="0"/>
        <i x="68" s="0"/>
        <i x="58" s="0"/>
        <i x="117" s="0"/>
        <i x="112" s="0"/>
        <i x="43" s="0"/>
        <i x="12" s="0"/>
        <i x="109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Branch" cache="Slicer_branch_name1" caption="Branch" startItem="9" rowHeight="225425"/>
  <slicer name="region_name" cache="Slicer_region_name" caption="Region" rowHeight="225425"/>
  <slicer name="state_name" cache="Slicer_state_name" caption="State" rowHeight="225425"/>
</slicers>
</file>

<file path=xl/tables/table1.xml><?xml version="1.0" encoding="utf-8"?>
<table xmlns="http://schemas.openxmlformats.org/spreadsheetml/2006/main" id="1" name="Table1" displayName="Table1" ref="A115:V236" totalsRowCount="1">
  <autoFilter xmlns:etc="http://www.wps.cn/officeDocument/2017/etCustomData" ref="A115:V235" etc:filterBottomFollowUsedRange="0"/>
  <tableColumns count="22">
    <tableColumn id="1" name="Column1" totalsRowLabel="Total"/>
    <tableColumn id="2" name="Column2"/>
    <tableColumn id="3" name="city_name"/>
    <tableColumn id="4" name="state_name"/>
    <tableColumn id="5" name="region_name"/>
    <tableColumn id="6" name="total_customers"/>
    <tableColumn id="7" name="total_accounts"/>
    <tableColumn id="8" name="total_deposits"/>
    <tableColumn id="9" name="total_loans"/>
    <tableColumn id="10" name="total_loan_amount"/>
    <tableColumn id="11" name="outstanding_loan_amount"/>
    <tableColumn id="12" name="total_fixed_deposits"/>
    <tableColumn id="13" name="fd_amount"/>
    <tableColumn id="14" name="maturity_amount"/>
    <tableColumn id="15" name="total_credit_cards"/>
    <tableColumn id="16" name="total_credit_limit"/>
    <tableColumn id="17" name="utilized_credit"/>
    <tableColumn id="18" name="utilization_percent"/>
    <tableColumn id="19" name="insurance_policies"/>
    <tableColumn id="20" name="insurance_premium"/>
    <tableColumn id="21" name="lockers"/>
    <tableColumn id="22" name="active_lockers" totalsRowFunction="sum"/>
  </tableColumns>
  <tableStyleInfo name="TableStylePreset4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7" Type="http://schemas.openxmlformats.org/officeDocument/2006/relationships/table" Target="../tables/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:AB236"/>
  <sheetViews>
    <sheetView showRowColHeaders="0" tabSelected="1" zoomScale="69" zoomScaleNormal="69" zoomScaleSheetLayoutView="70" workbookViewId="0">
      <selection activeCell="L48" sqref="L48"/>
    </sheetView>
  </sheetViews>
  <sheetFormatPr defaultColWidth="8.88888888888889" defaultRowHeight="14.4"/>
  <cols>
    <col min="1" max="1" width="23.2222222222222"/>
    <col min="2" max="2" width="13.7777777777778"/>
    <col min="7" max="7" width="17.5555555555556"/>
    <col min="8" max="8" width="26.7777777777778"/>
    <col min="11" max="11" width="13.8333333333333"/>
    <col min="26" max="26" width="15.7777777777778"/>
    <col min="27" max="27" width="21.2222222222222"/>
  </cols>
  <sheetData>
    <row r="10" spans="26:28">
      <c r="AA10" t="s">
        <v>0</v>
      </c>
    </row>
    <row r="15" spans="26:28">
      <c r="Z15" s="1"/>
      <c r="AA15" s="1"/>
      <c r="AB15" s="1"/>
    </row>
    <row r="16" spans="26:28">
      <c r="Z16" s="1"/>
      <c r="AA16" s="1"/>
      <c r="AB16" s="1"/>
    </row>
    <row r="22" spans="11:11">
      <c r="K22">
        <f>SUM([1]SBI_REPORT!$F:$F)</f>
        <v>150</v>
      </c>
    </row>
    <row r="45" ht="310" customHeight="1"/>
    <row r="47" spans="1:2">
      <c r="A47">
        <v>1</v>
      </c>
    </row>
    <row r="48" spans="1:2">
      <c r="A48" t="s">
        <v>1</v>
      </c>
      <c r="B48" t="s">
        <v>2</v>
      </c>
    </row>
    <row r="49" ht="11" customHeight="1" spans="1:8">
      <c r="A49" t="s">
        <v>3</v>
      </c>
      <c r="B49">
        <v>158000</v>
      </c>
    </row>
    <row r="50" hidden="1" spans="1:8">
      <c r="A50" t="s">
        <v>4</v>
      </c>
      <c r="B50">
        <v>102000</v>
      </c>
    </row>
    <row r="51" hidden="1" spans="1:8">
      <c r="A51" t="s">
        <v>5</v>
      </c>
      <c r="B51">
        <v>9000000</v>
      </c>
    </row>
    <row r="52" hidden="1" spans="1:8">
      <c r="A52" t="s">
        <v>6</v>
      </c>
      <c r="B52">
        <v>585000</v>
      </c>
    </row>
    <row r="53" hidden="1" spans="1:8">
      <c r="A53" t="s">
        <v>7</v>
      </c>
      <c r="B53">
        <v>125000</v>
      </c>
    </row>
    <row r="54" hidden="1" spans="1:8">
      <c r="A54" t="s">
        <v>8</v>
      </c>
      <c r="B54">
        <v>398000</v>
      </c>
    </row>
    <row r="55" hidden="1" spans="1:8">
      <c r="A55" t="s">
        <v>9</v>
      </c>
      <c r="B55">
        <v>10368000</v>
      </c>
    </row>
    <row r="56" hidden="1"/>
    <row r="57" hidden="1"/>
    <row r="58" hidden="1"/>
    <row r="59" hidden="1"/>
    <row r="60" hidden="1"/>
    <row r="61" hidden="1"/>
    <row r="62" hidden="1" spans="1:8">
      <c r="G62" s="2"/>
      <c r="H62" s="2"/>
    </row>
    <row r="63" spans="1:8">
      <c r="G63" s="2"/>
      <c r="H63" s="2"/>
    </row>
    <row r="64" spans="1:8">
      <c r="G64" s="2"/>
      <c r="H64" s="2"/>
    </row>
    <row r="65" spans="1:8">
      <c r="G65" s="2"/>
      <c r="H65" s="2"/>
    </row>
    <row r="66" spans="1:8">
      <c r="G66" s="2"/>
      <c r="H66" s="2"/>
    </row>
    <row r="67" spans="1:8">
      <c r="G67" s="2"/>
      <c r="H67" s="2"/>
    </row>
    <row r="68" spans="1:8">
      <c r="G68" s="2"/>
      <c r="H68" s="2"/>
    </row>
    <row r="69" spans="1:8">
      <c r="A69" t="s">
        <v>10</v>
      </c>
      <c r="B69" t="s">
        <v>11</v>
      </c>
      <c r="G69" s="2"/>
      <c r="H69" s="2"/>
    </row>
    <row r="70" spans="1:8">
      <c r="A70" t="s">
        <v>12</v>
      </c>
      <c r="B70">
        <v>1066000</v>
      </c>
    </row>
    <row r="71" spans="1:8">
      <c r="A71" t="s">
        <v>13</v>
      </c>
      <c r="B71">
        <v>10700500</v>
      </c>
    </row>
    <row r="72" spans="1:8">
      <c r="A72" t="s">
        <v>14</v>
      </c>
      <c r="B72">
        <v>3744500</v>
      </c>
    </row>
    <row r="73" spans="1:8">
      <c r="A73" t="s">
        <v>15</v>
      </c>
      <c r="B73">
        <v>12680500.5</v>
      </c>
    </row>
    <row r="74" spans="1:8">
      <c r="A74" t="s">
        <v>16</v>
      </c>
      <c r="B74">
        <v>23667700.75</v>
      </c>
    </row>
    <row r="75" spans="1:8">
      <c r="A75" t="s">
        <v>17</v>
      </c>
      <c r="B75">
        <v>25793251.25</v>
      </c>
    </row>
    <row r="76" spans="1:8">
      <c r="A76" t="s">
        <v>9</v>
      </c>
      <c r="B76">
        <v>77652452.5</v>
      </c>
    </row>
    <row r="82" spans="7:13">
      <c r="G82" t="s">
        <v>18</v>
      </c>
      <c r="H82" t="s">
        <v>19</v>
      </c>
    </row>
    <row r="83" spans="7:13">
      <c r="G83">
        <f>SUM([2]SBI_REPORT!$Q:$Q)</f>
        <v>2999000</v>
      </c>
      <c r="H83">
        <f>SUM([2]SBI_REPORT!$P:$P)-SUM([2]SBI_REPORT!$Q:$Q)</f>
        <v>23517000</v>
      </c>
    </row>
    <row r="92" spans="7:13">
      <c r="G92" t="s">
        <v>20</v>
      </c>
      <c r="H92" t="s">
        <v>21</v>
      </c>
    </row>
    <row r="93" spans="7:13">
      <c r="G93" t="s">
        <v>22</v>
      </c>
      <c r="H93">
        <v>6200</v>
      </c>
      <c r="M93" t="s">
        <v>23</v>
      </c>
    </row>
    <row r="94" spans="7:13">
      <c r="G94" t="s">
        <v>24</v>
      </c>
      <c r="H94">
        <v>26000</v>
      </c>
    </row>
    <row r="95" spans="7:13">
      <c r="G95" t="s">
        <v>25</v>
      </c>
      <c r="H95">
        <v>86000</v>
      </c>
    </row>
    <row r="96" spans="7:13">
      <c r="G96" t="s">
        <v>26</v>
      </c>
      <c r="H96">
        <v>12000</v>
      </c>
    </row>
    <row r="97" spans="1:8">
      <c r="G97" t="s">
        <v>27</v>
      </c>
      <c r="H97">
        <v>4200</v>
      </c>
    </row>
    <row r="98" spans="1:8">
      <c r="G98" t="s">
        <v>28</v>
      </c>
      <c r="H98">
        <v>30000</v>
      </c>
    </row>
    <row r="99" spans="1:8">
      <c r="G99" t="s">
        <v>9</v>
      </c>
      <c r="H99">
        <v>164400</v>
      </c>
    </row>
    <row r="102" spans="1:8">
      <c r="A102" t="s">
        <v>10</v>
      </c>
      <c r="B102" t="s">
        <v>29</v>
      </c>
    </row>
    <row r="103" spans="1:8">
      <c r="A103" t="s">
        <v>12</v>
      </c>
      <c r="B103">
        <v>1620000</v>
      </c>
    </row>
    <row r="104" spans="1:8">
      <c r="A104" t="s">
        <v>13</v>
      </c>
      <c r="B104">
        <v>13755000</v>
      </c>
    </row>
    <row r="105" spans="1:8">
      <c r="A105" t="s">
        <v>14</v>
      </c>
      <c r="B105">
        <v>9280000</v>
      </c>
    </row>
    <row r="106" spans="1:8">
      <c r="A106" t="s">
        <v>15</v>
      </c>
      <c r="B106">
        <v>13690000</v>
      </c>
    </row>
    <row r="107" spans="1:8">
      <c r="A107" t="s">
        <v>16</v>
      </c>
      <c r="B107">
        <v>18135000</v>
      </c>
    </row>
    <row r="108" spans="1:8">
      <c r="A108" t="s">
        <v>17</v>
      </c>
      <c r="B108">
        <v>19400000</v>
      </c>
    </row>
    <row r="109" spans="1:8">
      <c r="A109" t="s">
        <v>9</v>
      </c>
      <c r="B109">
        <v>75880000</v>
      </c>
    </row>
    <row r="115" spans="1:22">
      <c r="A115" t="s">
        <v>30</v>
      </c>
      <c r="B115" t="s">
        <v>31</v>
      </c>
      <c r="C115" t="s">
        <v>32</v>
      </c>
      <c r="D115" t="s">
        <v>20</v>
      </c>
      <c r="E115" t="s">
        <v>10</v>
      </c>
      <c r="F115" t="s">
        <v>33</v>
      </c>
      <c r="G115" t="s">
        <v>34</v>
      </c>
      <c r="H115" t="s">
        <v>35</v>
      </c>
      <c r="I115" t="s">
        <v>36</v>
      </c>
      <c r="J115" t="s">
        <v>37</v>
      </c>
      <c r="K115" t="s">
        <v>38</v>
      </c>
      <c r="L115" t="s">
        <v>39</v>
      </c>
      <c r="M115" t="s">
        <v>40</v>
      </c>
      <c r="N115" t="s">
        <v>41</v>
      </c>
      <c r="O115" t="s">
        <v>42</v>
      </c>
      <c r="P115" t="s">
        <v>43</v>
      </c>
      <c r="Q115" t="s">
        <v>44</v>
      </c>
      <c r="R115" t="s">
        <v>45</v>
      </c>
      <c r="S115" t="s">
        <v>46</v>
      </c>
      <c r="T115" t="s">
        <v>47</v>
      </c>
      <c r="U115" t="s">
        <v>48</v>
      </c>
      <c r="V115" t="s">
        <v>49</v>
      </c>
    </row>
    <row r="116" spans="1:22">
      <c r="C116" t="s">
        <v>50</v>
      </c>
      <c r="D116" t="s">
        <v>51</v>
      </c>
      <c r="E116" t="s">
        <v>17</v>
      </c>
      <c r="F116">
        <v>1</v>
      </c>
      <c r="G116">
        <v>2</v>
      </c>
      <c r="H116">
        <v>1535000.5</v>
      </c>
      <c r="I116">
        <v>1</v>
      </c>
      <c r="J116">
        <v>4500000</v>
      </c>
      <c r="K116">
        <v>3850000</v>
      </c>
      <c r="L116">
        <v>1</v>
      </c>
      <c r="M116">
        <v>500000</v>
      </c>
      <c r="N116">
        <v>532500</v>
      </c>
      <c r="O116">
        <v>1</v>
      </c>
      <c r="P116">
        <v>500000</v>
      </c>
      <c r="Q116">
        <v>75000</v>
      </c>
      <c r="R116">
        <v>15</v>
      </c>
      <c r="S116">
        <v>1</v>
      </c>
      <c r="T116">
        <v>25000</v>
      </c>
      <c r="U116">
        <v>1</v>
      </c>
      <c r="V116">
        <v>1</v>
      </c>
    </row>
    <row r="117" spans="1:22">
      <c r="C117" t="s">
        <v>50</v>
      </c>
      <c r="D117" t="s">
        <v>51</v>
      </c>
      <c r="E117" t="s">
        <v>17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t="s">
        <v>52</v>
      </c>
      <c r="S117">
        <v>0</v>
      </c>
      <c r="T117">
        <v>0</v>
      </c>
      <c r="U117">
        <v>0</v>
      </c>
      <c r="V117">
        <v>0</v>
      </c>
    </row>
    <row r="118" spans="1:22">
      <c r="C118" t="s">
        <v>50</v>
      </c>
      <c r="D118" t="s">
        <v>51</v>
      </c>
      <c r="E118" t="s">
        <v>17</v>
      </c>
      <c r="F118">
        <v>1</v>
      </c>
      <c r="G118">
        <v>1</v>
      </c>
      <c r="H118">
        <v>95500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 t="s">
        <v>52</v>
      </c>
      <c r="S118">
        <v>0</v>
      </c>
      <c r="T118">
        <v>0</v>
      </c>
      <c r="U118">
        <v>0</v>
      </c>
      <c r="V118">
        <v>0</v>
      </c>
    </row>
    <row r="119" spans="1:22">
      <c r="C119" t="s">
        <v>50</v>
      </c>
      <c r="D119" t="s">
        <v>51</v>
      </c>
      <c r="E119" t="s">
        <v>17</v>
      </c>
      <c r="F119">
        <v>1</v>
      </c>
      <c r="G119">
        <v>1</v>
      </c>
      <c r="H119">
        <v>142500.75</v>
      </c>
      <c r="I119">
        <v>1</v>
      </c>
      <c r="J119">
        <v>300000</v>
      </c>
      <c r="K119">
        <v>262500</v>
      </c>
      <c r="L119">
        <v>1</v>
      </c>
      <c r="M119">
        <v>180000</v>
      </c>
      <c r="N119">
        <v>191250</v>
      </c>
      <c r="O119">
        <v>1</v>
      </c>
      <c r="P119">
        <v>65000</v>
      </c>
      <c r="Q119">
        <v>13000</v>
      </c>
      <c r="R119">
        <v>20</v>
      </c>
      <c r="S119">
        <v>1</v>
      </c>
      <c r="T119">
        <v>10500</v>
      </c>
      <c r="U119">
        <v>1</v>
      </c>
      <c r="V119">
        <v>1</v>
      </c>
    </row>
    <row r="120" spans="1:22">
      <c r="C120" t="s">
        <v>53</v>
      </c>
      <c r="D120" t="s">
        <v>51</v>
      </c>
      <c r="E120" t="s">
        <v>17</v>
      </c>
      <c r="F120">
        <v>2</v>
      </c>
      <c r="G120">
        <v>2</v>
      </c>
      <c r="H120">
        <v>3370000</v>
      </c>
      <c r="I120">
        <v>1</v>
      </c>
      <c r="J120">
        <v>850000</v>
      </c>
      <c r="K120">
        <v>425000</v>
      </c>
      <c r="L120">
        <v>1</v>
      </c>
      <c r="M120">
        <v>1000000</v>
      </c>
      <c r="N120">
        <v>1143563</v>
      </c>
      <c r="O120">
        <v>1</v>
      </c>
      <c r="P120">
        <v>300000</v>
      </c>
      <c r="Q120">
        <v>35000</v>
      </c>
      <c r="R120">
        <v>11.67</v>
      </c>
      <c r="S120">
        <v>1</v>
      </c>
      <c r="T120">
        <v>50000</v>
      </c>
      <c r="U120">
        <v>2</v>
      </c>
      <c r="V120">
        <v>2</v>
      </c>
    </row>
    <row r="121" spans="1:22">
      <c r="C121" t="s">
        <v>53</v>
      </c>
      <c r="D121" t="s">
        <v>51</v>
      </c>
      <c r="E121" t="s">
        <v>17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t="s">
        <v>52</v>
      </c>
      <c r="S121">
        <v>0</v>
      </c>
      <c r="T121">
        <v>0</v>
      </c>
      <c r="U121">
        <v>0</v>
      </c>
      <c r="V121">
        <v>0</v>
      </c>
    </row>
    <row r="122" spans="1:22">
      <c r="C122" t="s">
        <v>54</v>
      </c>
      <c r="D122" t="s">
        <v>51</v>
      </c>
      <c r="E122" t="s">
        <v>17</v>
      </c>
      <c r="F122">
        <v>1</v>
      </c>
      <c r="G122">
        <v>1</v>
      </c>
      <c r="H122">
        <v>1925000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 t="s">
        <v>52</v>
      </c>
      <c r="S122">
        <v>0</v>
      </c>
      <c r="T122">
        <v>0</v>
      </c>
      <c r="U122">
        <v>1</v>
      </c>
      <c r="V122">
        <v>1</v>
      </c>
    </row>
    <row r="123" spans="1:22">
      <c r="C123" t="s">
        <v>55</v>
      </c>
      <c r="D123" t="s">
        <v>28</v>
      </c>
      <c r="E123" t="s">
        <v>15</v>
      </c>
      <c r="F123">
        <v>1</v>
      </c>
      <c r="G123">
        <v>2</v>
      </c>
      <c r="H123">
        <v>500000</v>
      </c>
      <c r="I123">
        <v>1</v>
      </c>
      <c r="J123">
        <v>500000</v>
      </c>
      <c r="K123">
        <v>312500</v>
      </c>
      <c r="L123">
        <v>1</v>
      </c>
      <c r="M123">
        <v>250000</v>
      </c>
      <c r="N123">
        <v>257813</v>
      </c>
      <c r="O123">
        <v>1</v>
      </c>
      <c r="P123">
        <v>150000</v>
      </c>
      <c r="Q123">
        <v>22000</v>
      </c>
      <c r="R123">
        <v>14.67</v>
      </c>
      <c r="S123">
        <v>1</v>
      </c>
      <c r="T123">
        <v>18000</v>
      </c>
      <c r="U123">
        <v>1</v>
      </c>
      <c r="V123">
        <v>1</v>
      </c>
    </row>
    <row r="124" spans="1:22">
      <c r="C124" t="s">
        <v>55</v>
      </c>
      <c r="D124" t="s">
        <v>28</v>
      </c>
      <c r="E124" t="s">
        <v>15</v>
      </c>
      <c r="F124">
        <v>1</v>
      </c>
      <c r="G124">
        <v>1</v>
      </c>
      <c r="H124">
        <v>52500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t="s">
        <v>52</v>
      </c>
      <c r="S124">
        <v>0</v>
      </c>
      <c r="T124">
        <v>0</v>
      </c>
      <c r="U124">
        <v>0</v>
      </c>
      <c r="V124">
        <v>0</v>
      </c>
    </row>
    <row r="125" spans="1:22">
      <c r="C125" t="s">
        <v>55</v>
      </c>
      <c r="D125" t="s">
        <v>28</v>
      </c>
      <c r="E125" t="s">
        <v>15</v>
      </c>
      <c r="F125">
        <v>1</v>
      </c>
      <c r="G125">
        <v>1</v>
      </c>
      <c r="H125">
        <v>245000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 t="s">
        <v>52</v>
      </c>
      <c r="S125">
        <v>0</v>
      </c>
      <c r="T125">
        <v>0</v>
      </c>
      <c r="U125">
        <v>1</v>
      </c>
      <c r="V125">
        <v>1</v>
      </c>
    </row>
    <row r="126" spans="1:22">
      <c r="C126" t="s">
        <v>56</v>
      </c>
      <c r="D126" t="s">
        <v>57</v>
      </c>
      <c r="E126" t="s">
        <v>16</v>
      </c>
      <c r="F126">
        <v>1</v>
      </c>
      <c r="G126">
        <v>1</v>
      </c>
      <c r="H126">
        <v>78500.25</v>
      </c>
      <c r="I126">
        <v>1</v>
      </c>
      <c r="J126">
        <v>68000</v>
      </c>
      <c r="K126">
        <v>62333</v>
      </c>
      <c r="L126">
        <v>1</v>
      </c>
      <c r="M126">
        <v>350000</v>
      </c>
      <c r="N126">
        <v>372750</v>
      </c>
      <c r="O126">
        <v>1</v>
      </c>
      <c r="P126">
        <v>45000</v>
      </c>
      <c r="Q126">
        <v>7000</v>
      </c>
      <c r="R126">
        <v>15.56</v>
      </c>
      <c r="S126">
        <v>1</v>
      </c>
      <c r="T126">
        <v>5200</v>
      </c>
      <c r="U126">
        <v>1</v>
      </c>
      <c r="V126">
        <v>1</v>
      </c>
    </row>
    <row r="127" spans="1:22">
      <c r="C127" t="s">
        <v>56</v>
      </c>
      <c r="D127" t="s">
        <v>57</v>
      </c>
      <c r="E127" t="s">
        <v>16</v>
      </c>
      <c r="F127">
        <v>1</v>
      </c>
      <c r="G127">
        <v>1</v>
      </c>
      <c r="H127">
        <v>118000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 t="s">
        <v>52</v>
      </c>
      <c r="S127">
        <v>0</v>
      </c>
      <c r="T127">
        <v>0</v>
      </c>
      <c r="U127">
        <v>0</v>
      </c>
      <c r="V127">
        <v>0</v>
      </c>
    </row>
    <row r="128" spans="1:22">
      <c r="C128" t="s">
        <v>56</v>
      </c>
      <c r="D128" t="s">
        <v>57</v>
      </c>
      <c r="E128" t="s">
        <v>16</v>
      </c>
      <c r="F128">
        <v>1</v>
      </c>
      <c r="G128">
        <v>1</v>
      </c>
      <c r="H128">
        <v>268000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t="s">
        <v>52</v>
      </c>
      <c r="S128">
        <v>0</v>
      </c>
      <c r="T128">
        <v>0</v>
      </c>
      <c r="U128">
        <v>1</v>
      </c>
      <c r="V128">
        <v>1</v>
      </c>
    </row>
    <row r="129" spans="3:22">
      <c r="C129" t="s">
        <v>58</v>
      </c>
      <c r="D129" t="s">
        <v>59</v>
      </c>
      <c r="E129" t="s">
        <v>16</v>
      </c>
      <c r="F129">
        <v>1</v>
      </c>
      <c r="G129">
        <v>1</v>
      </c>
      <c r="H129">
        <v>45200.5</v>
      </c>
      <c r="I129">
        <v>1</v>
      </c>
      <c r="J129">
        <v>420000</v>
      </c>
      <c r="K129">
        <v>385000</v>
      </c>
      <c r="L129">
        <v>1</v>
      </c>
      <c r="M129">
        <v>120000</v>
      </c>
      <c r="N129">
        <v>123750</v>
      </c>
      <c r="O129">
        <v>1</v>
      </c>
      <c r="P129">
        <v>40000</v>
      </c>
      <c r="Q129">
        <v>8000</v>
      </c>
      <c r="R129">
        <v>20</v>
      </c>
      <c r="S129">
        <v>1</v>
      </c>
      <c r="T129">
        <v>8500</v>
      </c>
      <c r="U129">
        <v>1</v>
      </c>
      <c r="V129">
        <v>1</v>
      </c>
    </row>
    <row r="130" spans="3:22">
      <c r="C130" t="s">
        <v>58</v>
      </c>
      <c r="D130" t="s">
        <v>59</v>
      </c>
      <c r="E130" t="s">
        <v>16</v>
      </c>
      <c r="F130">
        <v>1</v>
      </c>
      <c r="G130">
        <v>1</v>
      </c>
      <c r="H130">
        <v>72500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t="s">
        <v>52</v>
      </c>
      <c r="S130">
        <v>0</v>
      </c>
      <c r="T130">
        <v>0</v>
      </c>
      <c r="U130">
        <v>0</v>
      </c>
      <c r="V130">
        <v>0</v>
      </c>
    </row>
    <row r="131" spans="3:22">
      <c r="C131" t="s">
        <v>60</v>
      </c>
      <c r="D131" t="s">
        <v>61</v>
      </c>
      <c r="E131" t="s">
        <v>17</v>
      </c>
      <c r="F131">
        <v>1</v>
      </c>
      <c r="G131">
        <v>1</v>
      </c>
      <c r="H131">
        <v>28750</v>
      </c>
      <c r="I131">
        <v>1</v>
      </c>
      <c r="J131">
        <v>45000</v>
      </c>
      <c r="K131">
        <v>35000</v>
      </c>
      <c r="L131">
        <v>1</v>
      </c>
      <c r="M131">
        <v>200000</v>
      </c>
      <c r="N131">
        <v>213000</v>
      </c>
      <c r="O131">
        <v>1</v>
      </c>
      <c r="P131">
        <v>55000</v>
      </c>
      <c r="Q131">
        <v>10000</v>
      </c>
      <c r="R131">
        <v>18.18</v>
      </c>
      <c r="S131">
        <v>1</v>
      </c>
      <c r="T131">
        <v>4800</v>
      </c>
      <c r="U131">
        <v>1</v>
      </c>
      <c r="V131">
        <v>1</v>
      </c>
    </row>
    <row r="132" spans="3:22">
      <c r="C132" t="s">
        <v>60</v>
      </c>
      <c r="D132" t="s">
        <v>61</v>
      </c>
      <c r="E132" t="s">
        <v>17</v>
      </c>
      <c r="F132">
        <v>1</v>
      </c>
      <c r="G132">
        <v>1</v>
      </c>
      <c r="H132">
        <v>585000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 t="s">
        <v>52</v>
      </c>
      <c r="S132">
        <v>0</v>
      </c>
      <c r="T132">
        <v>0</v>
      </c>
      <c r="U132">
        <v>1</v>
      </c>
      <c r="V132">
        <v>1</v>
      </c>
    </row>
    <row r="133" spans="3:22">
      <c r="C133" t="s">
        <v>62</v>
      </c>
      <c r="D133" t="s">
        <v>61</v>
      </c>
      <c r="E133" t="s">
        <v>17</v>
      </c>
      <c r="F133">
        <v>1</v>
      </c>
      <c r="G133">
        <v>1</v>
      </c>
      <c r="H133">
        <v>108000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t="s">
        <v>52</v>
      </c>
      <c r="S133">
        <v>0</v>
      </c>
      <c r="T133">
        <v>0</v>
      </c>
      <c r="U133">
        <v>0</v>
      </c>
      <c r="V133">
        <v>0</v>
      </c>
    </row>
    <row r="134" spans="3:22">
      <c r="C134" t="s">
        <v>63</v>
      </c>
      <c r="D134" t="s">
        <v>64</v>
      </c>
      <c r="E134" t="s">
        <v>13</v>
      </c>
      <c r="F134">
        <v>1</v>
      </c>
      <c r="G134">
        <v>2</v>
      </c>
      <c r="H134">
        <v>5750000</v>
      </c>
      <c r="I134">
        <v>1</v>
      </c>
      <c r="J134">
        <v>2500000</v>
      </c>
      <c r="K134">
        <v>1575000</v>
      </c>
      <c r="L134">
        <v>1</v>
      </c>
      <c r="M134">
        <v>5000000</v>
      </c>
      <c r="N134">
        <v>7136719</v>
      </c>
      <c r="O134">
        <v>1</v>
      </c>
      <c r="P134">
        <v>1500000</v>
      </c>
      <c r="Q134">
        <v>150000</v>
      </c>
      <c r="R134">
        <v>10</v>
      </c>
      <c r="S134">
        <v>1</v>
      </c>
      <c r="T134">
        <v>75000</v>
      </c>
      <c r="U134">
        <v>1</v>
      </c>
      <c r="V134">
        <v>1</v>
      </c>
    </row>
    <row r="135" spans="3:22">
      <c r="C135" t="s">
        <v>63</v>
      </c>
      <c r="D135" t="s">
        <v>64</v>
      </c>
      <c r="E135" t="s">
        <v>13</v>
      </c>
      <c r="F135">
        <v>1</v>
      </c>
      <c r="G135">
        <v>1</v>
      </c>
      <c r="H135">
        <v>425000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 t="s">
        <v>52</v>
      </c>
      <c r="S135">
        <v>0</v>
      </c>
      <c r="T135">
        <v>0</v>
      </c>
      <c r="U135">
        <v>1</v>
      </c>
      <c r="V135">
        <v>1</v>
      </c>
    </row>
    <row r="136" spans="3:22">
      <c r="C136" t="s">
        <v>65</v>
      </c>
      <c r="D136" t="s">
        <v>66</v>
      </c>
      <c r="E136" t="s">
        <v>15</v>
      </c>
      <c r="F136">
        <v>1</v>
      </c>
      <c r="G136">
        <v>1</v>
      </c>
      <c r="H136">
        <v>95000</v>
      </c>
      <c r="I136">
        <v>1</v>
      </c>
      <c r="J136">
        <v>280000</v>
      </c>
      <c r="K136">
        <v>256667</v>
      </c>
      <c r="L136">
        <v>1</v>
      </c>
      <c r="M136">
        <v>280000</v>
      </c>
      <c r="N136">
        <v>307699</v>
      </c>
      <c r="O136">
        <v>1</v>
      </c>
      <c r="P136">
        <v>48000</v>
      </c>
      <c r="Q136">
        <v>8000</v>
      </c>
      <c r="R136">
        <v>16.67</v>
      </c>
      <c r="S136">
        <v>1</v>
      </c>
      <c r="T136">
        <v>12500</v>
      </c>
      <c r="U136">
        <v>1</v>
      </c>
      <c r="V136">
        <v>1</v>
      </c>
    </row>
    <row r="137" spans="3:22">
      <c r="C137" t="s">
        <v>65</v>
      </c>
      <c r="D137" t="s">
        <v>66</v>
      </c>
      <c r="E137" t="s">
        <v>15</v>
      </c>
      <c r="F137">
        <v>1</v>
      </c>
      <c r="G137">
        <v>1</v>
      </c>
      <c r="H137">
        <v>38500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t="s">
        <v>52</v>
      </c>
      <c r="S137">
        <v>0</v>
      </c>
      <c r="T137">
        <v>0</v>
      </c>
      <c r="U137">
        <v>0</v>
      </c>
      <c r="V137">
        <v>0</v>
      </c>
    </row>
    <row r="138" spans="3:22">
      <c r="C138" t="s">
        <v>67</v>
      </c>
      <c r="D138" t="s">
        <v>68</v>
      </c>
      <c r="E138" t="s">
        <v>15</v>
      </c>
      <c r="F138">
        <v>2</v>
      </c>
      <c r="G138">
        <v>2</v>
      </c>
      <c r="H138">
        <v>317000.5</v>
      </c>
      <c r="I138">
        <v>1</v>
      </c>
      <c r="J138">
        <v>1200000</v>
      </c>
      <c r="K138">
        <v>720000</v>
      </c>
      <c r="L138">
        <v>1</v>
      </c>
      <c r="M138">
        <v>350000</v>
      </c>
      <c r="N138">
        <v>372750</v>
      </c>
      <c r="O138">
        <v>1</v>
      </c>
      <c r="P138">
        <v>100000</v>
      </c>
      <c r="Q138">
        <v>15000</v>
      </c>
      <c r="R138">
        <v>15</v>
      </c>
      <c r="S138">
        <v>1</v>
      </c>
      <c r="T138">
        <v>28000</v>
      </c>
      <c r="U138">
        <v>2</v>
      </c>
      <c r="V138">
        <v>2</v>
      </c>
    </row>
    <row r="139" spans="3:22">
      <c r="C139" t="s">
        <v>67</v>
      </c>
      <c r="D139" t="s">
        <v>68</v>
      </c>
      <c r="E139" t="s">
        <v>15</v>
      </c>
      <c r="F139">
        <v>1</v>
      </c>
      <c r="G139">
        <v>1</v>
      </c>
      <c r="H139">
        <v>1685000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 t="s">
        <v>52</v>
      </c>
      <c r="S139">
        <v>0</v>
      </c>
      <c r="T139">
        <v>0</v>
      </c>
      <c r="U139">
        <v>1</v>
      </c>
      <c r="V139">
        <v>1</v>
      </c>
    </row>
    <row r="140" spans="3:22">
      <c r="C140" t="s">
        <v>69</v>
      </c>
      <c r="D140" t="s">
        <v>70</v>
      </c>
      <c r="E140" t="s">
        <v>12</v>
      </c>
      <c r="F140">
        <v>1</v>
      </c>
      <c r="G140">
        <v>1</v>
      </c>
      <c r="H140">
        <v>165000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 t="s">
        <v>52</v>
      </c>
      <c r="S140">
        <v>0</v>
      </c>
      <c r="T140">
        <v>0</v>
      </c>
      <c r="U140">
        <v>0</v>
      </c>
      <c r="V140">
        <v>0</v>
      </c>
    </row>
    <row r="141" spans="3:22">
      <c r="C141" t="s">
        <v>71</v>
      </c>
      <c r="D141" t="s">
        <v>72</v>
      </c>
      <c r="E141" t="s">
        <v>16</v>
      </c>
      <c r="F141">
        <v>4</v>
      </c>
      <c r="G141">
        <v>1</v>
      </c>
      <c r="H141">
        <v>62000</v>
      </c>
      <c r="I141">
        <v>1</v>
      </c>
      <c r="J141">
        <v>72000</v>
      </c>
      <c r="K141">
        <v>68000</v>
      </c>
      <c r="L141">
        <v>1</v>
      </c>
      <c r="M141">
        <v>150000</v>
      </c>
      <c r="N141">
        <v>159375</v>
      </c>
      <c r="O141">
        <v>1</v>
      </c>
      <c r="P141">
        <v>70000</v>
      </c>
      <c r="Q141">
        <v>12000</v>
      </c>
      <c r="R141">
        <v>17.14</v>
      </c>
      <c r="S141">
        <v>1</v>
      </c>
      <c r="T141">
        <v>5500</v>
      </c>
      <c r="U141">
        <v>2</v>
      </c>
      <c r="V141">
        <v>2</v>
      </c>
    </row>
    <row r="142" spans="3:22">
      <c r="C142" t="s">
        <v>71</v>
      </c>
      <c r="D142" t="s">
        <v>72</v>
      </c>
      <c r="E142" t="s">
        <v>16</v>
      </c>
      <c r="F142">
        <v>1</v>
      </c>
      <c r="G142">
        <v>1</v>
      </c>
      <c r="H142">
        <v>98500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 t="s">
        <v>52</v>
      </c>
      <c r="S142">
        <v>0</v>
      </c>
      <c r="T142">
        <v>0</v>
      </c>
      <c r="U142">
        <v>1</v>
      </c>
      <c r="V142">
        <v>1</v>
      </c>
    </row>
    <row r="143" spans="3:22">
      <c r="C143" t="s">
        <v>71</v>
      </c>
      <c r="D143" t="s">
        <v>72</v>
      </c>
      <c r="E143" t="s">
        <v>16</v>
      </c>
      <c r="F143">
        <v>1</v>
      </c>
      <c r="G143">
        <v>1</v>
      </c>
      <c r="H143">
        <v>235000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 t="s">
        <v>52</v>
      </c>
      <c r="S143">
        <v>0</v>
      </c>
      <c r="T143">
        <v>0</v>
      </c>
      <c r="U143">
        <v>0</v>
      </c>
      <c r="V143">
        <v>0</v>
      </c>
    </row>
    <row r="144" spans="3:22">
      <c r="C144" t="s">
        <v>73</v>
      </c>
      <c r="D144" t="s">
        <v>74</v>
      </c>
      <c r="E144" t="s">
        <v>16</v>
      </c>
      <c r="F144">
        <v>1</v>
      </c>
      <c r="G144">
        <v>2</v>
      </c>
      <c r="H144">
        <v>8300000</v>
      </c>
      <c r="I144">
        <v>1</v>
      </c>
      <c r="J144">
        <v>8500000</v>
      </c>
      <c r="K144">
        <v>6800000</v>
      </c>
      <c r="L144">
        <v>1</v>
      </c>
      <c r="M144">
        <v>3000000</v>
      </c>
      <c r="N144">
        <v>4326019</v>
      </c>
      <c r="O144">
        <v>1</v>
      </c>
      <c r="P144">
        <v>2000000</v>
      </c>
      <c r="Q144">
        <v>180000</v>
      </c>
      <c r="R144">
        <v>9</v>
      </c>
      <c r="S144">
        <v>1</v>
      </c>
      <c r="T144">
        <v>45000</v>
      </c>
      <c r="U144">
        <v>1</v>
      </c>
      <c r="V144">
        <v>1</v>
      </c>
    </row>
    <row r="145" spans="3:22">
      <c r="C145" t="s">
        <v>75</v>
      </c>
      <c r="D145" t="s">
        <v>74</v>
      </c>
      <c r="E145" t="s">
        <v>16</v>
      </c>
      <c r="F145">
        <v>2</v>
      </c>
      <c r="G145">
        <v>1</v>
      </c>
      <c r="H145">
        <v>680000</v>
      </c>
      <c r="I145">
        <v>1</v>
      </c>
      <c r="J145">
        <v>6500000</v>
      </c>
      <c r="K145">
        <v>5720000</v>
      </c>
      <c r="L145">
        <v>1</v>
      </c>
      <c r="M145">
        <v>2000000</v>
      </c>
      <c r="N145">
        <v>2450086</v>
      </c>
      <c r="O145">
        <v>1</v>
      </c>
      <c r="P145">
        <v>750000</v>
      </c>
      <c r="Q145">
        <v>70000</v>
      </c>
      <c r="R145">
        <v>9.33</v>
      </c>
      <c r="S145">
        <v>1</v>
      </c>
      <c r="T145">
        <v>35000</v>
      </c>
      <c r="U145">
        <v>2</v>
      </c>
      <c r="V145">
        <v>2</v>
      </c>
    </row>
    <row r="146" spans="3:22">
      <c r="C146" t="s">
        <v>76</v>
      </c>
      <c r="D146" t="s">
        <v>77</v>
      </c>
      <c r="E146" t="s">
        <v>15</v>
      </c>
      <c r="F146">
        <v>3</v>
      </c>
      <c r="G146">
        <v>1</v>
      </c>
      <c r="H146">
        <v>125000</v>
      </c>
      <c r="I146">
        <v>1</v>
      </c>
      <c r="J146">
        <v>380000</v>
      </c>
      <c r="K146">
        <v>355556</v>
      </c>
      <c r="L146">
        <v>1</v>
      </c>
      <c r="M146">
        <v>420000</v>
      </c>
      <c r="N146">
        <v>447300</v>
      </c>
      <c r="O146">
        <v>1</v>
      </c>
      <c r="P146">
        <v>52000</v>
      </c>
      <c r="Q146">
        <v>10000</v>
      </c>
      <c r="R146">
        <v>19.23</v>
      </c>
      <c r="S146">
        <v>1</v>
      </c>
      <c r="T146">
        <v>3500</v>
      </c>
      <c r="U146">
        <v>2</v>
      </c>
      <c r="V146">
        <v>2</v>
      </c>
    </row>
    <row r="147" spans="3:22">
      <c r="C147" t="s">
        <v>78</v>
      </c>
      <c r="D147" t="s">
        <v>77</v>
      </c>
      <c r="E147" t="s">
        <v>15</v>
      </c>
      <c r="F147">
        <v>2</v>
      </c>
      <c r="G147">
        <v>1</v>
      </c>
      <c r="H147">
        <v>188000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 t="s">
        <v>52</v>
      </c>
      <c r="S147">
        <v>0</v>
      </c>
      <c r="T147">
        <v>0</v>
      </c>
      <c r="U147">
        <v>2</v>
      </c>
      <c r="V147">
        <v>2</v>
      </c>
    </row>
    <row r="148" spans="3:22">
      <c r="C148" t="s">
        <v>79</v>
      </c>
      <c r="D148" t="s">
        <v>26</v>
      </c>
      <c r="E148" t="s">
        <v>13</v>
      </c>
      <c r="F148">
        <v>3</v>
      </c>
      <c r="G148">
        <v>1</v>
      </c>
      <c r="H148">
        <v>35000</v>
      </c>
      <c r="I148">
        <v>1</v>
      </c>
      <c r="J148">
        <v>75000</v>
      </c>
      <c r="K148">
        <v>45000</v>
      </c>
      <c r="L148">
        <v>1</v>
      </c>
      <c r="M148">
        <v>150000</v>
      </c>
      <c r="N148">
        <v>159375</v>
      </c>
      <c r="O148">
        <v>1</v>
      </c>
      <c r="P148">
        <v>75000</v>
      </c>
      <c r="Q148">
        <v>13000</v>
      </c>
      <c r="R148">
        <v>17.33</v>
      </c>
      <c r="S148">
        <v>1</v>
      </c>
      <c r="T148">
        <v>12000</v>
      </c>
      <c r="U148">
        <v>2</v>
      </c>
      <c r="V148">
        <v>2</v>
      </c>
    </row>
    <row r="149" spans="3:22">
      <c r="C149" t="s">
        <v>80</v>
      </c>
      <c r="D149" t="s">
        <v>81</v>
      </c>
      <c r="E149" t="s">
        <v>13</v>
      </c>
      <c r="F149">
        <v>1</v>
      </c>
      <c r="G149">
        <v>2</v>
      </c>
      <c r="H149">
        <v>158000</v>
      </c>
      <c r="I149">
        <v>1</v>
      </c>
      <c r="J149">
        <v>55000</v>
      </c>
      <c r="K149">
        <v>48889</v>
      </c>
      <c r="L149">
        <v>1</v>
      </c>
      <c r="M149">
        <v>95000</v>
      </c>
      <c r="N149">
        <v>97850</v>
      </c>
      <c r="O149">
        <v>1</v>
      </c>
      <c r="P149">
        <v>50000</v>
      </c>
      <c r="Q149">
        <v>8000</v>
      </c>
      <c r="R149">
        <v>16</v>
      </c>
      <c r="S149">
        <v>1</v>
      </c>
      <c r="T149">
        <v>7800</v>
      </c>
      <c r="U149">
        <v>1</v>
      </c>
      <c r="V149">
        <v>1</v>
      </c>
    </row>
    <row r="150" spans="3:22">
      <c r="C150" t="s">
        <v>82</v>
      </c>
      <c r="D150" t="s">
        <v>25</v>
      </c>
      <c r="E150" t="s">
        <v>14</v>
      </c>
      <c r="F150">
        <v>1</v>
      </c>
      <c r="G150">
        <v>2</v>
      </c>
      <c r="H150">
        <v>975000</v>
      </c>
      <c r="I150">
        <v>1</v>
      </c>
      <c r="J150">
        <v>1200000</v>
      </c>
      <c r="K150">
        <v>680000</v>
      </c>
      <c r="L150">
        <v>1</v>
      </c>
      <c r="M150">
        <v>800000</v>
      </c>
      <c r="N150">
        <v>912460</v>
      </c>
      <c r="O150">
        <v>1</v>
      </c>
      <c r="P150">
        <v>200000</v>
      </c>
      <c r="Q150">
        <v>25000</v>
      </c>
      <c r="R150">
        <v>12.5</v>
      </c>
      <c r="S150">
        <v>1</v>
      </c>
      <c r="T150">
        <v>22000</v>
      </c>
      <c r="U150">
        <v>1</v>
      </c>
      <c r="V150">
        <v>1</v>
      </c>
    </row>
    <row r="151" spans="3:22">
      <c r="C151" t="s">
        <v>83</v>
      </c>
      <c r="D151" t="s">
        <v>84</v>
      </c>
      <c r="E151" t="s">
        <v>13</v>
      </c>
      <c r="F151">
        <v>2</v>
      </c>
      <c r="G151">
        <v>1</v>
      </c>
      <c r="H151">
        <v>18000</v>
      </c>
      <c r="I151">
        <v>1</v>
      </c>
      <c r="J151">
        <v>220000</v>
      </c>
      <c r="K151">
        <v>211667</v>
      </c>
      <c r="L151">
        <v>1</v>
      </c>
      <c r="M151">
        <v>180000</v>
      </c>
      <c r="N151">
        <v>191250</v>
      </c>
      <c r="O151">
        <v>1</v>
      </c>
      <c r="P151">
        <v>38000</v>
      </c>
      <c r="Q151">
        <v>8000</v>
      </c>
      <c r="R151">
        <v>21.05</v>
      </c>
      <c r="S151">
        <v>1</v>
      </c>
      <c r="T151">
        <v>4200</v>
      </c>
      <c r="U151">
        <v>1</v>
      </c>
      <c r="V151">
        <v>1</v>
      </c>
    </row>
    <row r="152" spans="3:22">
      <c r="C152" t="s">
        <v>85</v>
      </c>
      <c r="D152" t="s">
        <v>86</v>
      </c>
      <c r="E152" t="s">
        <v>15</v>
      </c>
      <c r="F152">
        <v>1</v>
      </c>
      <c r="G152">
        <v>2</v>
      </c>
      <c r="H152">
        <v>478000</v>
      </c>
      <c r="I152">
        <v>1</v>
      </c>
      <c r="J152">
        <v>350000</v>
      </c>
      <c r="K152">
        <v>245000</v>
      </c>
      <c r="L152">
        <v>1</v>
      </c>
      <c r="M152">
        <v>450000</v>
      </c>
      <c r="N152">
        <v>494663</v>
      </c>
      <c r="O152">
        <v>1</v>
      </c>
      <c r="P152">
        <v>350000</v>
      </c>
      <c r="Q152">
        <v>40000</v>
      </c>
      <c r="R152">
        <v>11.43</v>
      </c>
      <c r="S152">
        <v>1</v>
      </c>
      <c r="T152">
        <v>30000</v>
      </c>
      <c r="U152">
        <v>1</v>
      </c>
      <c r="V152">
        <v>1</v>
      </c>
    </row>
    <row r="153" spans="3:22">
      <c r="C153" t="s">
        <v>87</v>
      </c>
      <c r="D153" t="s">
        <v>51</v>
      </c>
      <c r="E153" t="s">
        <v>17</v>
      </c>
      <c r="F153">
        <v>2</v>
      </c>
      <c r="G153">
        <v>1</v>
      </c>
      <c r="H153">
        <v>72000</v>
      </c>
      <c r="I153">
        <v>1</v>
      </c>
      <c r="J153">
        <v>65000</v>
      </c>
      <c r="K153">
        <v>63056</v>
      </c>
      <c r="L153">
        <v>1</v>
      </c>
      <c r="M153">
        <v>250000</v>
      </c>
      <c r="N153">
        <v>266250</v>
      </c>
      <c r="O153">
        <v>1</v>
      </c>
      <c r="P153">
        <v>62000</v>
      </c>
      <c r="Q153">
        <v>10000</v>
      </c>
      <c r="R153">
        <v>16.13</v>
      </c>
      <c r="S153">
        <v>1</v>
      </c>
      <c r="T153">
        <v>9200</v>
      </c>
      <c r="U153">
        <v>1</v>
      </c>
      <c r="V153">
        <v>1</v>
      </c>
    </row>
    <row r="154" spans="3:22">
      <c r="C154" t="s">
        <v>88</v>
      </c>
      <c r="D154" t="s">
        <v>57</v>
      </c>
      <c r="E154" t="s">
        <v>16</v>
      </c>
      <c r="F154">
        <v>1</v>
      </c>
      <c r="G154">
        <v>2</v>
      </c>
      <c r="H154">
        <v>5700000</v>
      </c>
      <c r="I154">
        <v>1</v>
      </c>
      <c r="J154">
        <v>5200000</v>
      </c>
      <c r="K154">
        <v>4160000</v>
      </c>
      <c r="L154">
        <v>1</v>
      </c>
      <c r="M154">
        <v>1500000</v>
      </c>
      <c r="N154">
        <v>1837628</v>
      </c>
      <c r="O154">
        <v>1</v>
      </c>
      <c r="P154">
        <v>600000</v>
      </c>
      <c r="Q154">
        <v>55000</v>
      </c>
      <c r="R154">
        <v>9.17</v>
      </c>
      <c r="S154">
        <v>1</v>
      </c>
      <c r="T154">
        <v>60000</v>
      </c>
      <c r="U154">
        <v>1</v>
      </c>
      <c r="V154">
        <v>1</v>
      </c>
    </row>
    <row r="155" spans="3:22">
      <c r="C155" t="s">
        <v>89</v>
      </c>
      <c r="D155" t="s">
        <v>59</v>
      </c>
      <c r="E155" t="s">
        <v>16</v>
      </c>
      <c r="F155">
        <v>1</v>
      </c>
      <c r="G155">
        <v>1</v>
      </c>
      <c r="H155">
        <v>15000</v>
      </c>
      <c r="I155">
        <v>1</v>
      </c>
      <c r="J155">
        <v>500000</v>
      </c>
      <c r="K155">
        <v>491667</v>
      </c>
      <c r="L155">
        <v>1</v>
      </c>
      <c r="M155">
        <v>100000</v>
      </c>
      <c r="N155">
        <v>103000</v>
      </c>
      <c r="O155">
        <v>1</v>
      </c>
      <c r="P155">
        <v>42000</v>
      </c>
      <c r="Q155">
        <v>7000</v>
      </c>
      <c r="R155">
        <v>16.67</v>
      </c>
      <c r="S155">
        <v>1</v>
      </c>
      <c r="T155">
        <v>1800</v>
      </c>
      <c r="U155">
        <v>1</v>
      </c>
      <c r="V155">
        <v>1</v>
      </c>
    </row>
    <row r="156" spans="3:22">
      <c r="C156" t="s">
        <v>90</v>
      </c>
      <c r="D156" t="s">
        <v>61</v>
      </c>
      <c r="E156" t="s">
        <v>17</v>
      </c>
      <c r="F156">
        <v>1</v>
      </c>
      <c r="G156">
        <v>1</v>
      </c>
      <c r="H156">
        <v>195000</v>
      </c>
      <c r="I156">
        <v>1</v>
      </c>
      <c r="J156">
        <v>3500000</v>
      </c>
      <c r="K156">
        <v>2800000</v>
      </c>
      <c r="L156">
        <v>1</v>
      </c>
      <c r="M156">
        <v>600000</v>
      </c>
      <c r="N156">
        <v>639000</v>
      </c>
      <c r="O156">
        <v>1</v>
      </c>
      <c r="P156">
        <v>120000</v>
      </c>
      <c r="Q156">
        <v>22000</v>
      </c>
      <c r="R156">
        <v>18.33</v>
      </c>
      <c r="S156">
        <v>1</v>
      </c>
      <c r="T156">
        <v>8500</v>
      </c>
      <c r="U156">
        <v>1</v>
      </c>
      <c r="V156">
        <v>1</v>
      </c>
    </row>
    <row r="157" spans="3:22">
      <c r="C157" t="s">
        <v>91</v>
      </c>
      <c r="D157" t="s">
        <v>92</v>
      </c>
      <c r="E157" t="s">
        <v>15</v>
      </c>
      <c r="F157">
        <v>1</v>
      </c>
      <c r="G157">
        <v>1</v>
      </c>
      <c r="H157">
        <v>88000</v>
      </c>
      <c r="I157">
        <v>1</v>
      </c>
      <c r="J157">
        <v>750000</v>
      </c>
      <c r="K157">
        <v>660714</v>
      </c>
      <c r="L157">
        <v>1</v>
      </c>
      <c r="M157">
        <v>320000</v>
      </c>
      <c r="N157">
        <v>351680</v>
      </c>
      <c r="O157">
        <v>1</v>
      </c>
      <c r="P157">
        <v>75000</v>
      </c>
      <c r="Q157">
        <v>13000</v>
      </c>
      <c r="R157">
        <v>17.33</v>
      </c>
      <c r="S157">
        <v>1</v>
      </c>
      <c r="T157">
        <v>11500</v>
      </c>
      <c r="U157">
        <v>0</v>
      </c>
      <c r="V157">
        <v>0</v>
      </c>
    </row>
    <row r="158" spans="3:22">
      <c r="C158" t="s">
        <v>93</v>
      </c>
      <c r="D158" t="s">
        <v>92</v>
      </c>
      <c r="E158" t="s">
        <v>15</v>
      </c>
      <c r="F158">
        <v>1</v>
      </c>
      <c r="G158">
        <v>2</v>
      </c>
      <c r="H158">
        <v>2710000</v>
      </c>
      <c r="I158">
        <v>1</v>
      </c>
      <c r="J158">
        <v>800000</v>
      </c>
      <c r="K158">
        <v>480000</v>
      </c>
      <c r="L158">
        <v>1</v>
      </c>
      <c r="M158">
        <v>900000</v>
      </c>
      <c r="N158">
        <v>1026209</v>
      </c>
      <c r="O158">
        <v>1</v>
      </c>
      <c r="P158">
        <v>250000</v>
      </c>
      <c r="Q158">
        <v>32000</v>
      </c>
      <c r="R158">
        <v>12.8</v>
      </c>
      <c r="S158">
        <v>1</v>
      </c>
      <c r="T158">
        <v>28000</v>
      </c>
      <c r="U158">
        <v>1</v>
      </c>
      <c r="V158">
        <v>1</v>
      </c>
    </row>
    <row r="159" spans="3:22">
      <c r="C159" t="s">
        <v>94</v>
      </c>
      <c r="D159" t="s">
        <v>22</v>
      </c>
      <c r="E159" t="s">
        <v>16</v>
      </c>
      <c r="F159">
        <v>3</v>
      </c>
      <c r="G159">
        <v>1</v>
      </c>
      <c r="H159">
        <v>135000</v>
      </c>
      <c r="I159">
        <v>1</v>
      </c>
      <c r="J159">
        <v>350000</v>
      </c>
      <c r="K159">
        <v>335417</v>
      </c>
      <c r="L159">
        <v>1</v>
      </c>
      <c r="M159">
        <v>450000</v>
      </c>
      <c r="N159">
        <v>479250</v>
      </c>
      <c r="O159">
        <v>1</v>
      </c>
      <c r="P159">
        <v>95000</v>
      </c>
      <c r="Q159">
        <v>17000</v>
      </c>
      <c r="R159">
        <v>17.89</v>
      </c>
      <c r="S159">
        <v>1</v>
      </c>
      <c r="T159">
        <v>6200</v>
      </c>
      <c r="U159">
        <v>1</v>
      </c>
      <c r="V159">
        <v>1</v>
      </c>
    </row>
    <row r="160" spans="3:22">
      <c r="C160" t="s">
        <v>95</v>
      </c>
      <c r="D160" t="s">
        <v>70</v>
      </c>
      <c r="E160" t="s">
        <v>12</v>
      </c>
      <c r="F160">
        <v>2</v>
      </c>
      <c r="G160">
        <v>2</v>
      </c>
      <c r="H160">
        <v>223000</v>
      </c>
      <c r="I160">
        <v>1</v>
      </c>
      <c r="J160">
        <v>600000</v>
      </c>
      <c r="K160">
        <v>412500</v>
      </c>
      <c r="L160">
        <v>1</v>
      </c>
      <c r="M160">
        <v>200000</v>
      </c>
      <c r="N160">
        <v>206250</v>
      </c>
      <c r="O160">
        <v>1</v>
      </c>
      <c r="P160">
        <v>100000</v>
      </c>
      <c r="Q160">
        <v>18000</v>
      </c>
      <c r="R160">
        <v>18</v>
      </c>
      <c r="S160">
        <v>1</v>
      </c>
      <c r="T160">
        <v>15000</v>
      </c>
      <c r="U160">
        <v>1</v>
      </c>
      <c r="V160">
        <v>1</v>
      </c>
    </row>
    <row r="161" spans="1:22">
      <c r="C161" t="s">
        <v>96</v>
      </c>
      <c r="D161" t="s">
        <v>27</v>
      </c>
      <c r="E161" t="s">
        <v>12</v>
      </c>
      <c r="F161">
        <v>2</v>
      </c>
      <c r="G161">
        <v>1</v>
      </c>
      <c r="H161">
        <v>210000</v>
      </c>
      <c r="I161">
        <v>1</v>
      </c>
      <c r="J161">
        <v>1200000</v>
      </c>
      <c r="K161">
        <v>975000</v>
      </c>
      <c r="L161">
        <v>1</v>
      </c>
      <c r="M161">
        <v>580000</v>
      </c>
      <c r="N161">
        <v>661481</v>
      </c>
      <c r="O161">
        <v>1</v>
      </c>
      <c r="P161">
        <v>108000</v>
      </c>
      <c r="Q161">
        <v>18000</v>
      </c>
      <c r="R161">
        <v>16.67</v>
      </c>
      <c r="S161">
        <v>1</v>
      </c>
      <c r="T161">
        <v>4200</v>
      </c>
      <c r="U161">
        <v>1</v>
      </c>
      <c r="V161">
        <v>1</v>
      </c>
    </row>
    <row r="162" spans="1:22">
      <c r="C162" t="s">
        <v>97</v>
      </c>
      <c r="D162" t="s">
        <v>51</v>
      </c>
      <c r="E162" t="s">
        <v>17</v>
      </c>
      <c r="F162">
        <v>1</v>
      </c>
      <c r="G162">
        <v>1</v>
      </c>
      <c r="H162">
        <v>52000</v>
      </c>
      <c r="I162">
        <v>1</v>
      </c>
      <c r="J162">
        <v>950000</v>
      </c>
      <c r="K162">
        <v>475000</v>
      </c>
      <c r="L162">
        <v>1</v>
      </c>
      <c r="M162">
        <v>750000</v>
      </c>
      <c r="N162">
        <v>798750</v>
      </c>
      <c r="O162">
        <v>1</v>
      </c>
      <c r="P162">
        <v>80000</v>
      </c>
      <c r="Q162">
        <v>15000</v>
      </c>
      <c r="R162">
        <v>18.75</v>
      </c>
      <c r="S162">
        <v>1</v>
      </c>
      <c r="T162">
        <v>6500</v>
      </c>
      <c r="U162">
        <v>1</v>
      </c>
      <c r="V162">
        <v>1</v>
      </c>
    </row>
    <row r="163" spans="1:22">
      <c r="C163" t="s">
        <v>98</v>
      </c>
      <c r="D163" t="s">
        <v>66</v>
      </c>
      <c r="E163" t="s">
        <v>15</v>
      </c>
      <c r="F163">
        <v>1</v>
      </c>
      <c r="G163">
        <v>1</v>
      </c>
      <c r="H163">
        <v>38000</v>
      </c>
      <c r="I163">
        <v>1</v>
      </c>
      <c r="J163">
        <v>450000</v>
      </c>
      <c r="K163">
        <v>446250</v>
      </c>
      <c r="L163">
        <v>1</v>
      </c>
      <c r="M163">
        <v>200000</v>
      </c>
      <c r="N163">
        <v>212500</v>
      </c>
      <c r="O163">
        <v>1</v>
      </c>
      <c r="P163">
        <v>58000</v>
      </c>
      <c r="Q163">
        <v>10000</v>
      </c>
      <c r="R163">
        <v>17.24</v>
      </c>
      <c r="S163">
        <v>1</v>
      </c>
      <c r="T163">
        <v>8800</v>
      </c>
      <c r="U163">
        <v>0</v>
      </c>
      <c r="V163">
        <v>0</v>
      </c>
    </row>
    <row r="164" spans="1:22">
      <c r="C164" t="s">
        <v>99</v>
      </c>
      <c r="D164" t="s">
        <v>66</v>
      </c>
      <c r="E164" t="s">
        <v>15</v>
      </c>
      <c r="F164">
        <v>2</v>
      </c>
      <c r="G164">
        <v>1</v>
      </c>
      <c r="H164">
        <v>485000</v>
      </c>
      <c r="I164">
        <v>1</v>
      </c>
      <c r="J164">
        <v>7200000</v>
      </c>
      <c r="K164">
        <v>6120000</v>
      </c>
      <c r="L164">
        <v>1</v>
      </c>
      <c r="M164">
        <v>1200000</v>
      </c>
      <c r="N164">
        <v>1470102</v>
      </c>
      <c r="O164">
        <v>1</v>
      </c>
      <c r="P164">
        <v>450000</v>
      </c>
      <c r="Q164">
        <v>52000</v>
      </c>
      <c r="R164">
        <v>11.56</v>
      </c>
      <c r="S164">
        <v>1</v>
      </c>
      <c r="T164">
        <v>42000</v>
      </c>
      <c r="U164">
        <v>1</v>
      </c>
      <c r="V164">
        <v>1</v>
      </c>
    </row>
    <row r="165" spans="1:22">
      <c r="C165" t="s">
        <v>100</v>
      </c>
      <c r="D165" t="s">
        <v>51</v>
      </c>
      <c r="E165" t="s">
        <v>17</v>
      </c>
      <c r="F165">
        <v>1</v>
      </c>
      <c r="G165">
        <v>1</v>
      </c>
      <c r="H165">
        <v>25000</v>
      </c>
      <c r="I165">
        <v>1</v>
      </c>
      <c r="J165">
        <v>38000</v>
      </c>
      <c r="K165">
        <v>25333</v>
      </c>
      <c r="L165">
        <v>1</v>
      </c>
      <c r="M165">
        <v>135000</v>
      </c>
      <c r="N165">
        <v>139050</v>
      </c>
      <c r="O165">
        <v>1</v>
      </c>
      <c r="P165">
        <v>35000</v>
      </c>
      <c r="Q165">
        <v>7000</v>
      </c>
      <c r="R165">
        <v>20</v>
      </c>
      <c r="S165">
        <v>1</v>
      </c>
      <c r="T165">
        <v>4500</v>
      </c>
      <c r="U165">
        <v>0</v>
      </c>
      <c r="V165">
        <v>0</v>
      </c>
    </row>
    <row r="166" spans="1:22">
      <c r="C166" t="s">
        <v>50</v>
      </c>
      <c r="D166" t="s">
        <v>51</v>
      </c>
      <c r="E166" t="s">
        <v>17</v>
      </c>
      <c r="F166">
        <v>1</v>
      </c>
      <c r="G166">
        <v>1</v>
      </c>
      <c r="H166">
        <v>168000</v>
      </c>
      <c r="I166">
        <v>1</v>
      </c>
      <c r="J166">
        <v>1800000</v>
      </c>
      <c r="K166">
        <v>1080000</v>
      </c>
      <c r="L166">
        <v>1</v>
      </c>
      <c r="M166">
        <v>400000</v>
      </c>
      <c r="N166">
        <v>439627</v>
      </c>
      <c r="O166">
        <v>1</v>
      </c>
      <c r="P166">
        <v>280000</v>
      </c>
      <c r="Q166">
        <v>35000</v>
      </c>
      <c r="R166">
        <v>12.5</v>
      </c>
      <c r="S166">
        <v>1</v>
      </c>
      <c r="T166">
        <v>65000</v>
      </c>
      <c r="U166">
        <v>1</v>
      </c>
      <c r="V166">
        <v>1</v>
      </c>
    </row>
    <row r="167" spans="1:22">
      <c r="C167" t="s">
        <v>50</v>
      </c>
      <c r="D167" t="s">
        <v>51</v>
      </c>
      <c r="E167" t="s">
        <v>17</v>
      </c>
      <c r="F167">
        <v>1</v>
      </c>
      <c r="G167">
        <v>2</v>
      </c>
      <c r="H167">
        <v>9000000</v>
      </c>
      <c r="I167">
        <v>1</v>
      </c>
      <c r="J167">
        <v>12000000</v>
      </c>
      <c r="K167">
        <v>8400000</v>
      </c>
      <c r="L167">
        <v>1</v>
      </c>
      <c r="M167">
        <v>3500000</v>
      </c>
      <c r="N167">
        <v>5046022</v>
      </c>
      <c r="O167">
        <v>1</v>
      </c>
      <c r="P167">
        <v>1650000</v>
      </c>
      <c r="Q167">
        <v>130000</v>
      </c>
      <c r="R167">
        <v>7.88</v>
      </c>
      <c r="S167">
        <v>1</v>
      </c>
      <c r="T167">
        <v>68000</v>
      </c>
      <c r="U167">
        <v>0</v>
      </c>
      <c r="V167">
        <v>0</v>
      </c>
    </row>
    <row r="168" spans="1:22">
      <c r="C168" t="s">
        <v>50</v>
      </c>
      <c r="D168" t="s">
        <v>51</v>
      </c>
      <c r="E168" t="s">
        <v>17</v>
      </c>
      <c r="F168">
        <v>1</v>
      </c>
      <c r="G168">
        <v>1</v>
      </c>
      <c r="H168">
        <v>42000</v>
      </c>
      <c r="I168">
        <v>1</v>
      </c>
      <c r="J168">
        <v>2000000</v>
      </c>
      <c r="K168">
        <v>1400000</v>
      </c>
      <c r="L168">
        <v>1</v>
      </c>
      <c r="M168">
        <v>550000</v>
      </c>
      <c r="N168">
        <v>627314</v>
      </c>
      <c r="O168">
        <v>1</v>
      </c>
      <c r="P168">
        <v>150000</v>
      </c>
      <c r="Q168">
        <v>25000</v>
      </c>
      <c r="R168">
        <v>16.67</v>
      </c>
      <c r="S168">
        <v>1</v>
      </c>
      <c r="T168">
        <v>2500</v>
      </c>
      <c r="U168">
        <v>1</v>
      </c>
      <c r="V168">
        <v>1</v>
      </c>
    </row>
    <row r="169" spans="1:22">
      <c r="C169" t="s">
        <v>53</v>
      </c>
      <c r="D169" t="s">
        <v>51</v>
      </c>
      <c r="E169" t="s">
        <v>17</v>
      </c>
      <c r="F169">
        <v>1</v>
      </c>
      <c r="G169">
        <v>1</v>
      </c>
      <c r="H169">
        <v>115000</v>
      </c>
      <c r="I169">
        <v>1</v>
      </c>
      <c r="J169">
        <v>520000</v>
      </c>
      <c r="K169">
        <v>390000</v>
      </c>
      <c r="L169">
        <v>1</v>
      </c>
      <c r="M169">
        <v>280000</v>
      </c>
      <c r="N169">
        <v>298200</v>
      </c>
      <c r="O169">
        <v>1</v>
      </c>
      <c r="P169">
        <v>110000</v>
      </c>
      <c r="Q169">
        <v>18000</v>
      </c>
      <c r="R169">
        <v>16.36</v>
      </c>
      <c r="S169">
        <v>1</v>
      </c>
      <c r="T169">
        <v>13500</v>
      </c>
      <c r="U169">
        <v>0</v>
      </c>
      <c r="V169">
        <v>0</v>
      </c>
    </row>
    <row r="170" spans="1:22">
      <c r="A170">
        <v>55</v>
      </c>
      <c r="B170" t="s">
        <v>101</v>
      </c>
      <c r="C170" t="s">
        <v>53</v>
      </c>
      <c r="D170" t="s">
        <v>51</v>
      </c>
      <c r="E170" t="s">
        <v>17</v>
      </c>
      <c r="F170">
        <v>1</v>
      </c>
      <c r="G170">
        <v>2</v>
      </c>
      <c r="H170">
        <v>490000</v>
      </c>
      <c r="I170">
        <v>1</v>
      </c>
      <c r="J170">
        <v>450000</v>
      </c>
      <c r="K170">
        <v>337500</v>
      </c>
      <c r="L170">
        <v>1</v>
      </c>
      <c r="M170">
        <v>300000</v>
      </c>
      <c r="N170">
        <v>318750</v>
      </c>
      <c r="O170">
        <v>1</v>
      </c>
      <c r="P170">
        <v>220000</v>
      </c>
      <c r="Q170">
        <v>28000</v>
      </c>
      <c r="R170">
        <v>12.73</v>
      </c>
      <c r="S170">
        <v>1</v>
      </c>
      <c r="T170">
        <v>32000</v>
      </c>
      <c r="U170">
        <v>1</v>
      </c>
      <c r="V170">
        <v>1</v>
      </c>
    </row>
    <row r="171" spans="1:22">
      <c r="A171">
        <v>56</v>
      </c>
      <c r="B171" t="s">
        <v>102</v>
      </c>
      <c r="C171" t="s">
        <v>56</v>
      </c>
      <c r="D171" t="s">
        <v>57</v>
      </c>
      <c r="E171" t="s">
        <v>16</v>
      </c>
      <c r="F171">
        <v>1</v>
      </c>
      <c r="G171">
        <v>1</v>
      </c>
      <c r="H171">
        <v>68000</v>
      </c>
      <c r="I171">
        <v>1</v>
      </c>
      <c r="J171">
        <v>920000</v>
      </c>
      <c r="K171">
        <v>598000</v>
      </c>
      <c r="L171">
        <v>1</v>
      </c>
      <c r="M171">
        <v>420000</v>
      </c>
      <c r="N171">
        <v>461580</v>
      </c>
      <c r="O171">
        <v>1</v>
      </c>
      <c r="P171">
        <v>98000</v>
      </c>
      <c r="Q171">
        <v>16000</v>
      </c>
      <c r="R171">
        <v>16.33</v>
      </c>
      <c r="S171">
        <v>1</v>
      </c>
      <c r="T171">
        <v>24000</v>
      </c>
      <c r="U171">
        <v>0</v>
      </c>
      <c r="V171">
        <v>0</v>
      </c>
    </row>
    <row r="172" spans="1:22">
      <c r="A172">
        <v>57</v>
      </c>
      <c r="B172" t="s">
        <v>103</v>
      </c>
      <c r="C172" t="s">
        <v>56</v>
      </c>
      <c r="D172" t="s">
        <v>57</v>
      </c>
      <c r="E172" t="s">
        <v>16</v>
      </c>
      <c r="F172">
        <v>1</v>
      </c>
      <c r="G172">
        <v>1</v>
      </c>
      <c r="H172">
        <v>185000</v>
      </c>
      <c r="I172">
        <v>1</v>
      </c>
      <c r="J172">
        <v>3800000</v>
      </c>
      <c r="K172">
        <v>3040000</v>
      </c>
      <c r="L172">
        <v>1</v>
      </c>
      <c r="M172">
        <v>850000</v>
      </c>
      <c r="N172">
        <v>905250</v>
      </c>
      <c r="O172">
        <v>1</v>
      </c>
      <c r="P172">
        <v>130000</v>
      </c>
      <c r="Q172">
        <v>22000</v>
      </c>
      <c r="R172">
        <v>16.92</v>
      </c>
      <c r="S172">
        <v>1</v>
      </c>
      <c r="T172">
        <v>25000</v>
      </c>
      <c r="U172">
        <v>1</v>
      </c>
      <c r="V172">
        <v>1</v>
      </c>
    </row>
    <row r="173" spans="1:22">
      <c r="A173">
        <v>58</v>
      </c>
      <c r="B173" t="s">
        <v>104</v>
      </c>
      <c r="C173" t="s">
        <v>56</v>
      </c>
      <c r="D173" t="s">
        <v>57</v>
      </c>
      <c r="E173" t="s">
        <v>16</v>
      </c>
      <c r="F173">
        <v>1</v>
      </c>
      <c r="G173">
        <v>1</v>
      </c>
      <c r="H173">
        <v>32000</v>
      </c>
      <c r="I173">
        <v>1</v>
      </c>
      <c r="J173">
        <v>340000</v>
      </c>
      <c r="K173">
        <v>321111</v>
      </c>
      <c r="L173">
        <v>1</v>
      </c>
      <c r="M173">
        <v>180000</v>
      </c>
      <c r="N173">
        <v>191250</v>
      </c>
      <c r="O173">
        <v>1</v>
      </c>
      <c r="P173">
        <v>45000</v>
      </c>
      <c r="Q173">
        <v>7000</v>
      </c>
      <c r="R173">
        <v>15.56</v>
      </c>
      <c r="S173">
        <v>1</v>
      </c>
      <c r="T173">
        <v>5000</v>
      </c>
      <c r="U173">
        <v>0</v>
      </c>
      <c r="V173">
        <v>0</v>
      </c>
    </row>
    <row r="174" spans="1:22">
      <c r="A174">
        <v>59</v>
      </c>
      <c r="B174" t="s">
        <v>105</v>
      </c>
      <c r="C174" t="s">
        <v>58</v>
      </c>
      <c r="D174" t="s">
        <v>59</v>
      </c>
      <c r="E174" t="s">
        <v>16</v>
      </c>
      <c r="F174">
        <v>1</v>
      </c>
      <c r="G174">
        <v>1</v>
      </c>
      <c r="H174">
        <v>425000</v>
      </c>
      <c r="I174">
        <v>1</v>
      </c>
      <c r="J174">
        <v>1100000</v>
      </c>
      <c r="K174">
        <v>715000</v>
      </c>
      <c r="L174">
        <v>1</v>
      </c>
      <c r="M174">
        <v>1800000</v>
      </c>
      <c r="N174">
        <v>2359800</v>
      </c>
      <c r="O174">
        <v>1</v>
      </c>
      <c r="P174">
        <v>520000</v>
      </c>
      <c r="Q174">
        <v>52000</v>
      </c>
      <c r="R174">
        <v>10</v>
      </c>
      <c r="S174">
        <v>1</v>
      </c>
      <c r="T174">
        <v>38000</v>
      </c>
      <c r="U174">
        <v>1</v>
      </c>
      <c r="V174">
        <v>1</v>
      </c>
    </row>
    <row r="175" spans="1:22">
      <c r="A175">
        <v>60</v>
      </c>
      <c r="B175" t="s">
        <v>106</v>
      </c>
      <c r="C175" t="s">
        <v>58</v>
      </c>
      <c r="D175" t="s">
        <v>59</v>
      </c>
      <c r="E175" t="s">
        <v>16</v>
      </c>
      <c r="F175">
        <v>1</v>
      </c>
      <c r="G175">
        <v>1</v>
      </c>
      <c r="H175">
        <v>19500</v>
      </c>
      <c r="I175">
        <v>1</v>
      </c>
      <c r="J175">
        <v>62000</v>
      </c>
      <c r="K175">
        <v>58556</v>
      </c>
      <c r="L175">
        <v>1</v>
      </c>
      <c r="M175">
        <v>110000</v>
      </c>
      <c r="N175">
        <v>113300</v>
      </c>
      <c r="O175">
        <v>1</v>
      </c>
      <c r="P175">
        <v>52000</v>
      </c>
      <c r="Q175">
        <v>10000</v>
      </c>
      <c r="R175">
        <v>19.23</v>
      </c>
      <c r="S175">
        <v>1</v>
      </c>
      <c r="T175">
        <v>7200</v>
      </c>
      <c r="U175">
        <v>0</v>
      </c>
      <c r="V175">
        <v>0</v>
      </c>
    </row>
    <row r="176" spans="1:22">
      <c r="A176">
        <v>61</v>
      </c>
      <c r="B176" t="s">
        <v>107</v>
      </c>
      <c r="C176" t="s">
        <v>60</v>
      </c>
      <c r="D176" t="s">
        <v>61</v>
      </c>
      <c r="E176" t="s">
        <v>17</v>
      </c>
      <c r="F176">
        <v>1</v>
      </c>
      <c r="G176">
        <v>2</v>
      </c>
      <c r="H176">
        <v>4650000</v>
      </c>
      <c r="I176">
        <v>1</v>
      </c>
      <c r="J176">
        <v>9500000</v>
      </c>
      <c r="K176">
        <v>7600000</v>
      </c>
      <c r="L176">
        <v>1</v>
      </c>
      <c r="M176">
        <v>2500000</v>
      </c>
      <c r="N176">
        <v>3568359</v>
      </c>
      <c r="O176">
        <v>1</v>
      </c>
      <c r="P176">
        <v>1200000</v>
      </c>
      <c r="Q176">
        <v>115000</v>
      </c>
      <c r="R176">
        <v>9.58</v>
      </c>
      <c r="S176">
        <v>1</v>
      </c>
      <c r="T176">
        <v>85000</v>
      </c>
      <c r="U176">
        <v>1</v>
      </c>
      <c r="V176">
        <v>1</v>
      </c>
    </row>
    <row r="177" spans="1:22">
      <c r="A177">
        <v>62</v>
      </c>
      <c r="B177" t="s">
        <v>108</v>
      </c>
      <c r="C177" t="s">
        <v>60</v>
      </c>
      <c r="D177" t="s">
        <v>61</v>
      </c>
      <c r="E177" t="s">
        <v>17</v>
      </c>
      <c r="F177">
        <v>1</v>
      </c>
      <c r="G177">
        <v>1</v>
      </c>
      <c r="H177">
        <v>82000</v>
      </c>
      <c r="I177">
        <v>1</v>
      </c>
      <c r="J177">
        <v>480000</v>
      </c>
      <c r="K177">
        <v>370000</v>
      </c>
      <c r="L177">
        <v>1</v>
      </c>
      <c r="M177">
        <v>350000</v>
      </c>
      <c r="N177">
        <v>372750</v>
      </c>
      <c r="O177">
        <v>1</v>
      </c>
      <c r="P177">
        <v>88000</v>
      </c>
      <c r="Q177">
        <v>16000</v>
      </c>
      <c r="R177">
        <v>18.18</v>
      </c>
      <c r="S177">
        <v>1</v>
      </c>
      <c r="T177">
        <v>5800</v>
      </c>
      <c r="U177">
        <v>0</v>
      </c>
      <c r="V177">
        <v>0</v>
      </c>
    </row>
    <row r="178" spans="1:22">
      <c r="A178">
        <v>63</v>
      </c>
      <c r="B178" t="s">
        <v>109</v>
      </c>
      <c r="C178" t="s">
        <v>63</v>
      </c>
      <c r="D178" t="s">
        <v>64</v>
      </c>
      <c r="E178" t="s">
        <v>13</v>
      </c>
      <c r="F178">
        <v>1</v>
      </c>
      <c r="G178">
        <v>1</v>
      </c>
      <c r="H178">
        <v>235000</v>
      </c>
      <c r="I178">
        <v>1</v>
      </c>
      <c r="J178">
        <v>4200000</v>
      </c>
      <c r="K178">
        <v>3360000</v>
      </c>
      <c r="L178">
        <v>1</v>
      </c>
      <c r="M178">
        <v>700000</v>
      </c>
      <c r="N178">
        <v>745500</v>
      </c>
      <c r="O178">
        <v>1</v>
      </c>
      <c r="P178">
        <v>280000</v>
      </c>
      <c r="Q178">
        <v>38000</v>
      </c>
      <c r="R178">
        <v>13.57</v>
      </c>
      <c r="S178">
        <v>1</v>
      </c>
      <c r="T178">
        <v>20000</v>
      </c>
      <c r="U178">
        <v>1</v>
      </c>
      <c r="V178">
        <v>1</v>
      </c>
    </row>
    <row r="179" spans="1:22">
      <c r="A179">
        <v>64</v>
      </c>
      <c r="B179" t="s">
        <v>110</v>
      </c>
      <c r="C179" t="s">
        <v>63</v>
      </c>
      <c r="D179" t="s">
        <v>64</v>
      </c>
      <c r="E179" t="s">
        <v>13</v>
      </c>
      <c r="F179">
        <v>1</v>
      </c>
      <c r="G179">
        <v>1</v>
      </c>
      <c r="H179">
        <v>58000</v>
      </c>
      <c r="I179">
        <v>1</v>
      </c>
      <c r="J179">
        <v>78000</v>
      </c>
      <c r="K179">
        <v>74917</v>
      </c>
      <c r="L179">
        <v>1</v>
      </c>
      <c r="M179">
        <v>220000</v>
      </c>
      <c r="N179">
        <v>233750</v>
      </c>
      <c r="O179">
        <v>1</v>
      </c>
      <c r="P179">
        <v>40000</v>
      </c>
      <c r="Q179">
        <v>8000</v>
      </c>
      <c r="R179">
        <v>20</v>
      </c>
      <c r="S179">
        <v>1</v>
      </c>
      <c r="T179">
        <v>8200</v>
      </c>
      <c r="U179">
        <v>0</v>
      </c>
      <c r="V179">
        <v>0</v>
      </c>
    </row>
    <row r="180" spans="1:22">
      <c r="A180">
        <v>65</v>
      </c>
      <c r="B180" t="s">
        <v>111</v>
      </c>
      <c r="C180" t="s">
        <v>55</v>
      </c>
      <c r="D180" t="s">
        <v>28</v>
      </c>
      <c r="E180" t="s">
        <v>15</v>
      </c>
      <c r="F180">
        <v>1</v>
      </c>
      <c r="G180">
        <v>2</v>
      </c>
      <c r="H180">
        <v>323000</v>
      </c>
      <c r="I180">
        <v>1</v>
      </c>
      <c r="J180">
        <v>750000</v>
      </c>
      <c r="K180">
        <v>468750</v>
      </c>
      <c r="L180">
        <v>1</v>
      </c>
      <c r="M180">
        <v>480000</v>
      </c>
      <c r="N180">
        <v>547478</v>
      </c>
      <c r="O180">
        <v>1</v>
      </c>
      <c r="P180">
        <v>110000</v>
      </c>
      <c r="Q180">
        <v>18000</v>
      </c>
      <c r="R180">
        <v>16.36</v>
      </c>
      <c r="S180">
        <v>1</v>
      </c>
      <c r="T180">
        <v>7200</v>
      </c>
      <c r="U180">
        <v>1</v>
      </c>
      <c r="V180">
        <v>1</v>
      </c>
    </row>
    <row r="181" spans="1:22">
      <c r="A181">
        <v>66</v>
      </c>
      <c r="B181" t="s">
        <v>112</v>
      </c>
      <c r="C181" t="s">
        <v>55</v>
      </c>
      <c r="D181" t="s">
        <v>28</v>
      </c>
      <c r="E181" t="s">
        <v>15</v>
      </c>
      <c r="F181">
        <v>1</v>
      </c>
      <c r="G181">
        <v>1</v>
      </c>
      <c r="H181">
        <v>45000</v>
      </c>
      <c r="I181">
        <v>1</v>
      </c>
      <c r="J181">
        <v>260000</v>
      </c>
      <c r="K181">
        <v>260000</v>
      </c>
      <c r="L181">
        <v>1</v>
      </c>
      <c r="M181">
        <v>150000</v>
      </c>
      <c r="N181">
        <v>159375</v>
      </c>
      <c r="O181">
        <v>1</v>
      </c>
      <c r="P181">
        <v>55000</v>
      </c>
      <c r="Q181">
        <v>10000</v>
      </c>
      <c r="R181">
        <v>18.18</v>
      </c>
      <c r="S181">
        <v>1</v>
      </c>
      <c r="T181">
        <v>4800</v>
      </c>
      <c r="U181">
        <v>0</v>
      </c>
      <c r="V181">
        <v>0</v>
      </c>
    </row>
    <row r="182" spans="1:22">
      <c r="A182">
        <v>67</v>
      </c>
      <c r="B182" t="s">
        <v>113</v>
      </c>
      <c r="C182" t="s">
        <v>71</v>
      </c>
      <c r="D182" t="s">
        <v>72</v>
      </c>
      <c r="E182" t="s">
        <v>16</v>
      </c>
      <c r="F182">
        <v>1</v>
      </c>
      <c r="G182">
        <v>1</v>
      </c>
      <c r="H182">
        <v>380000</v>
      </c>
      <c r="I182">
        <v>1</v>
      </c>
      <c r="J182">
        <v>3200000</v>
      </c>
      <c r="K182">
        <v>2080000</v>
      </c>
      <c r="L182">
        <v>1</v>
      </c>
      <c r="M182">
        <v>1100000</v>
      </c>
      <c r="N182">
        <v>1347761</v>
      </c>
      <c r="O182">
        <v>1</v>
      </c>
      <c r="P182">
        <v>380000</v>
      </c>
      <c r="Q182">
        <v>45000</v>
      </c>
      <c r="R182">
        <v>11.84</v>
      </c>
      <c r="S182">
        <v>1</v>
      </c>
      <c r="T182">
        <v>48000</v>
      </c>
      <c r="U182">
        <v>1</v>
      </c>
      <c r="V182">
        <v>1</v>
      </c>
    </row>
    <row r="183" spans="1:22">
      <c r="A183">
        <v>68</v>
      </c>
      <c r="B183" t="s">
        <v>114</v>
      </c>
      <c r="C183" t="s">
        <v>71</v>
      </c>
      <c r="D183" t="s">
        <v>72</v>
      </c>
      <c r="E183" t="s">
        <v>16</v>
      </c>
      <c r="F183">
        <v>1</v>
      </c>
      <c r="G183">
        <v>1</v>
      </c>
      <c r="H183">
        <v>28000</v>
      </c>
      <c r="I183">
        <v>1</v>
      </c>
      <c r="J183">
        <v>42000</v>
      </c>
      <c r="K183">
        <v>38500</v>
      </c>
      <c r="L183">
        <v>1</v>
      </c>
      <c r="M183">
        <v>185000</v>
      </c>
      <c r="N183">
        <v>190550</v>
      </c>
      <c r="O183">
        <v>1</v>
      </c>
      <c r="P183">
        <v>38000</v>
      </c>
      <c r="Q183">
        <v>8000</v>
      </c>
      <c r="R183">
        <v>21.05</v>
      </c>
      <c r="S183">
        <v>1</v>
      </c>
      <c r="T183">
        <v>6800</v>
      </c>
      <c r="U183">
        <v>0</v>
      </c>
      <c r="V183">
        <v>0</v>
      </c>
    </row>
    <row r="184" spans="1:22">
      <c r="A184">
        <v>69</v>
      </c>
      <c r="B184" t="s">
        <v>115</v>
      </c>
      <c r="C184" t="s">
        <v>116</v>
      </c>
      <c r="D184" t="s">
        <v>66</v>
      </c>
      <c r="E184" t="s">
        <v>15</v>
      </c>
      <c r="F184">
        <v>2</v>
      </c>
      <c r="G184">
        <v>1</v>
      </c>
      <c r="H184">
        <v>295000</v>
      </c>
      <c r="I184">
        <v>1</v>
      </c>
      <c r="J184">
        <v>5800000</v>
      </c>
      <c r="K184">
        <v>4640000</v>
      </c>
      <c r="L184">
        <v>1</v>
      </c>
      <c r="M184">
        <v>650000</v>
      </c>
      <c r="N184">
        <v>714456</v>
      </c>
      <c r="O184">
        <v>1</v>
      </c>
      <c r="P184">
        <v>195000</v>
      </c>
      <c r="Q184">
        <v>27000</v>
      </c>
      <c r="R184">
        <v>13.85</v>
      </c>
      <c r="S184">
        <v>1</v>
      </c>
      <c r="T184">
        <v>35000</v>
      </c>
      <c r="U184">
        <v>2</v>
      </c>
      <c r="V184">
        <v>2</v>
      </c>
    </row>
    <row r="185" spans="1:22">
      <c r="A185">
        <v>70</v>
      </c>
      <c r="B185" t="s">
        <v>117</v>
      </c>
      <c r="C185" t="s">
        <v>118</v>
      </c>
      <c r="D185" t="s">
        <v>66</v>
      </c>
      <c r="E185" t="s">
        <v>15</v>
      </c>
      <c r="F185">
        <v>2</v>
      </c>
      <c r="G185">
        <v>1</v>
      </c>
      <c r="H185">
        <v>105000</v>
      </c>
      <c r="I185">
        <v>1</v>
      </c>
      <c r="J185">
        <v>250000</v>
      </c>
      <c r="K185">
        <v>239583</v>
      </c>
      <c r="L185">
        <v>1</v>
      </c>
      <c r="M185">
        <v>400000</v>
      </c>
      <c r="N185">
        <v>439627</v>
      </c>
      <c r="O185">
        <v>1</v>
      </c>
      <c r="P185">
        <v>82000</v>
      </c>
      <c r="Q185">
        <v>14000</v>
      </c>
      <c r="R185">
        <v>17.07</v>
      </c>
      <c r="S185">
        <v>1</v>
      </c>
      <c r="T185">
        <v>2200</v>
      </c>
      <c r="U185">
        <v>0</v>
      </c>
      <c r="V185">
        <v>0</v>
      </c>
    </row>
    <row r="186" spans="1:22">
      <c r="A186">
        <v>71</v>
      </c>
      <c r="B186" t="s">
        <v>119</v>
      </c>
      <c r="C186" t="s">
        <v>120</v>
      </c>
      <c r="D186" t="s">
        <v>66</v>
      </c>
      <c r="E186" t="s">
        <v>15</v>
      </c>
      <c r="F186">
        <v>2</v>
      </c>
      <c r="G186">
        <v>2</v>
      </c>
      <c r="H186">
        <v>430000</v>
      </c>
      <c r="I186">
        <v>1</v>
      </c>
      <c r="J186">
        <v>1350000</v>
      </c>
      <c r="K186">
        <v>810000</v>
      </c>
      <c r="L186">
        <v>1</v>
      </c>
      <c r="M186">
        <v>950000</v>
      </c>
      <c r="N186">
        <v>1083391</v>
      </c>
      <c r="O186">
        <v>1</v>
      </c>
      <c r="P186">
        <v>140000</v>
      </c>
      <c r="Q186">
        <v>22000</v>
      </c>
      <c r="R186">
        <v>15.71</v>
      </c>
      <c r="S186">
        <v>1</v>
      </c>
      <c r="T186">
        <v>16000</v>
      </c>
      <c r="U186">
        <v>1</v>
      </c>
      <c r="V186">
        <v>1</v>
      </c>
    </row>
    <row r="187" spans="1:22">
      <c r="A187">
        <v>72</v>
      </c>
      <c r="B187" t="s">
        <v>121</v>
      </c>
      <c r="C187" t="s">
        <v>122</v>
      </c>
      <c r="D187" t="s">
        <v>66</v>
      </c>
      <c r="E187" t="s">
        <v>15</v>
      </c>
      <c r="F187">
        <v>2</v>
      </c>
      <c r="G187">
        <v>1</v>
      </c>
      <c r="H187">
        <v>75000</v>
      </c>
      <c r="I187">
        <v>1</v>
      </c>
      <c r="J187">
        <v>180000</v>
      </c>
      <c r="K187">
        <v>175000</v>
      </c>
      <c r="L187">
        <v>1</v>
      </c>
      <c r="M187">
        <v>280000</v>
      </c>
      <c r="N187">
        <v>298200</v>
      </c>
      <c r="O187">
        <v>1</v>
      </c>
      <c r="P187">
        <v>92000</v>
      </c>
      <c r="Q187">
        <v>16000</v>
      </c>
      <c r="R187">
        <v>17.39</v>
      </c>
      <c r="S187">
        <v>1</v>
      </c>
      <c r="T187">
        <v>10200</v>
      </c>
      <c r="U187">
        <v>1</v>
      </c>
      <c r="V187">
        <v>1</v>
      </c>
    </row>
    <row r="188" spans="1:22">
      <c r="A188">
        <v>73</v>
      </c>
      <c r="B188" t="s">
        <v>123</v>
      </c>
      <c r="C188" t="s">
        <v>124</v>
      </c>
      <c r="D188" t="s">
        <v>68</v>
      </c>
      <c r="E188" t="s">
        <v>15</v>
      </c>
      <c r="F188">
        <v>2</v>
      </c>
      <c r="G188">
        <v>2</v>
      </c>
      <c r="H188">
        <v>2470000</v>
      </c>
      <c r="I188">
        <v>1</v>
      </c>
      <c r="J188">
        <v>1500000</v>
      </c>
      <c r="K188">
        <v>857143</v>
      </c>
      <c r="L188">
        <v>1</v>
      </c>
      <c r="M188">
        <v>1350000</v>
      </c>
      <c r="N188">
        <v>1654003</v>
      </c>
      <c r="O188">
        <v>1</v>
      </c>
      <c r="P188">
        <v>680000</v>
      </c>
      <c r="Q188">
        <v>65000</v>
      </c>
      <c r="R188">
        <v>9.56</v>
      </c>
      <c r="S188">
        <v>1</v>
      </c>
      <c r="T188">
        <v>55000</v>
      </c>
      <c r="U188">
        <v>2</v>
      </c>
      <c r="V188">
        <v>2</v>
      </c>
    </row>
    <row r="189" spans="1:22">
      <c r="A189">
        <v>74</v>
      </c>
      <c r="B189" t="s">
        <v>125</v>
      </c>
      <c r="C189" t="s">
        <v>126</v>
      </c>
      <c r="D189" t="s">
        <v>68</v>
      </c>
      <c r="E189" t="s">
        <v>15</v>
      </c>
      <c r="F189">
        <v>2</v>
      </c>
      <c r="G189">
        <v>1</v>
      </c>
      <c r="H189">
        <v>35500</v>
      </c>
      <c r="I189">
        <v>1</v>
      </c>
      <c r="J189">
        <v>320000</v>
      </c>
      <c r="K189">
        <v>309333</v>
      </c>
      <c r="L189">
        <v>1</v>
      </c>
      <c r="M189">
        <v>195000</v>
      </c>
      <c r="N189">
        <v>207188</v>
      </c>
      <c r="O189">
        <v>1</v>
      </c>
      <c r="P189">
        <v>60000</v>
      </c>
      <c r="Q189">
        <v>10000</v>
      </c>
      <c r="R189">
        <v>16.67</v>
      </c>
      <c r="S189">
        <v>1</v>
      </c>
      <c r="T189">
        <v>5200</v>
      </c>
      <c r="U189">
        <v>0</v>
      </c>
      <c r="V189">
        <v>0</v>
      </c>
    </row>
    <row r="190" spans="1:22">
      <c r="A190">
        <v>75</v>
      </c>
      <c r="B190" t="s">
        <v>127</v>
      </c>
      <c r="C190" t="s">
        <v>128</v>
      </c>
      <c r="D190" t="s">
        <v>68</v>
      </c>
      <c r="E190" t="s">
        <v>15</v>
      </c>
      <c r="F190">
        <v>2</v>
      </c>
      <c r="G190">
        <v>1</v>
      </c>
      <c r="H190">
        <v>148000</v>
      </c>
      <c r="I190">
        <v>1</v>
      </c>
      <c r="J190">
        <v>400000</v>
      </c>
      <c r="K190">
        <v>311111</v>
      </c>
      <c r="L190">
        <v>1</v>
      </c>
      <c r="M190">
        <v>280000</v>
      </c>
      <c r="N190">
        <v>297500</v>
      </c>
      <c r="O190">
        <v>1</v>
      </c>
      <c r="P190">
        <v>90000</v>
      </c>
      <c r="Q190">
        <v>15000</v>
      </c>
      <c r="R190">
        <v>16.67</v>
      </c>
      <c r="S190">
        <v>1</v>
      </c>
      <c r="T190">
        <v>5800</v>
      </c>
      <c r="U190">
        <v>1</v>
      </c>
      <c r="V190">
        <v>1</v>
      </c>
    </row>
    <row r="191" spans="1:22">
      <c r="A191">
        <v>76</v>
      </c>
      <c r="B191" t="s">
        <v>129</v>
      </c>
      <c r="C191" t="s">
        <v>130</v>
      </c>
      <c r="D191" t="s">
        <v>70</v>
      </c>
      <c r="E191" t="s">
        <v>12</v>
      </c>
      <c r="F191">
        <v>1</v>
      </c>
      <c r="G191">
        <v>1</v>
      </c>
      <c r="H191">
        <v>55000</v>
      </c>
      <c r="I191">
        <v>1</v>
      </c>
      <c r="J191">
        <v>200000</v>
      </c>
      <c r="K191">
        <v>195833</v>
      </c>
      <c r="L191">
        <v>1</v>
      </c>
      <c r="M191">
        <v>320000</v>
      </c>
      <c r="N191">
        <v>340800</v>
      </c>
      <c r="O191">
        <v>1</v>
      </c>
      <c r="P191">
        <v>42000</v>
      </c>
      <c r="Q191">
        <v>7000</v>
      </c>
      <c r="R191">
        <v>16.67</v>
      </c>
      <c r="S191">
        <v>1</v>
      </c>
      <c r="T191">
        <v>7500</v>
      </c>
      <c r="U191">
        <v>0</v>
      </c>
      <c r="V191">
        <v>0</v>
      </c>
    </row>
    <row r="192" spans="1:22">
      <c r="A192">
        <v>77</v>
      </c>
      <c r="B192" t="s">
        <v>131</v>
      </c>
      <c r="C192" t="s">
        <v>132</v>
      </c>
      <c r="D192" t="s">
        <v>70</v>
      </c>
      <c r="E192" t="s">
        <v>12</v>
      </c>
      <c r="F192">
        <v>1</v>
      </c>
      <c r="G192">
        <v>2</v>
      </c>
      <c r="H192">
        <v>413000</v>
      </c>
      <c r="I192">
        <v>1</v>
      </c>
      <c r="J192">
        <v>4200000</v>
      </c>
      <c r="K192">
        <v>3360000</v>
      </c>
      <c r="L192">
        <v>1</v>
      </c>
      <c r="M192">
        <v>520000</v>
      </c>
      <c r="N192">
        <v>553800</v>
      </c>
      <c r="O192">
        <v>1</v>
      </c>
      <c r="P192">
        <v>125000</v>
      </c>
      <c r="Q192">
        <v>20000</v>
      </c>
      <c r="R192">
        <v>16</v>
      </c>
      <c r="S192">
        <v>1</v>
      </c>
      <c r="T192">
        <v>28000</v>
      </c>
      <c r="U192">
        <v>1</v>
      </c>
      <c r="V192">
        <v>1</v>
      </c>
    </row>
    <row r="193" spans="1:22">
      <c r="A193">
        <v>78</v>
      </c>
      <c r="B193" t="s">
        <v>133</v>
      </c>
      <c r="C193" t="s">
        <v>134</v>
      </c>
      <c r="D193" t="s">
        <v>57</v>
      </c>
      <c r="E193" t="s">
        <v>16</v>
      </c>
      <c r="F193">
        <v>2</v>
      </c>
      <c r="G193">
        <v>1</v>
      </c>
      <c r="H193">
        <v>92000</v>
      </c>
      <c r="I193">
        <v>1</v>
      </c>
      <c r="J193">
        <v>280000</v>
      </c>
      <c r="K193">
        <v>274667</v>
      </c>
      <c r="L193">
        <v>1</v>
      </c>
      <c r="M193">
        <v>250000</v>
      </c>
      <c r="N193">
        <v>274813</v>
      </c>
      <c r="O193">
        <v>1</v>
      </c>
      <c r="P193">
        <v>85000</v>
      </c>
      <c r="Q193">
        <v>15000</v>
      </c>
      <c r="R193">
        <v>17.65</v>
      </c>
      <c r="S193">
        <v>1</v>
      </c>
      <c r="T193">
        <v>6000</v>
      </c>
      <c r="U193">
        <v>1</v>
      </c>
      <c r="V193">
        <v>1</v>
      </c>
    </row>
    <row r="194" spans="1:22">
      <c r="A194">
        <v>79</v>
      </c>
      <c r="B194" t="s">
        <v>135</v>
      </c>
      <c r="C194" t="s">
        <v>136</v>
      </c>
      <c r="D194" t="s">
        <v>57</v>
      </c>
      <c r="E194" t="s">
        <v>16</v>
      </c>
      <c r="F194">
        <v>1</v>
      </c>
      <c r="G194">
        <v>2</v>
      </c>
      <c r="H194">
        <v>5930000</v>
      </c>
      <c r="I194">
        <v>1</v>
      </c>
      <c r="J194">
        <v>7500000</v>
      </c>
      <c r="K194">
        <v>5625000</v>
      </c>
      <c r="L194">
        <v>1</v>
      </c>
      <c r="M194">
        <v>4000000</v>
      </c>
      <c r="N194">
        <v>5768025</v>
      </c>
      <c r="O194">
        <v>1</v>
      </c>
      <c r="P194">
        <v>1800000</v>
      </c>
      <c r="Q194">
        <v>150000</v>
      </c>
      <c r="R194">
        <v>8.33</v>
      </c>
      <c r="S194">
        <v>1</v>
      </c>
      <c r="T194">
        <v>62000</v>
      </c>
      <c r="U194">
        <v>1</v>
      </c>
      <c r="V194">
        <v>1</v>
      </c>
    </row>
    <row r="195" spans="1:22">
      <c r="A195">
        <v>80</v>
      </c>
      <c r="B195" t="s">
        <v>137</v>
      </c>
      <c r="C195" t="s">
        <v>138</v>
      </c>
      <c r="D195" t="s">
        <v>59</v>
      </c>
      <c r="E195" t="s">
        <v>16</v>
      </c>
      <c r="F195">
        <v>2</v>
      </c>
      <c r="G195">
        <v>1</v>
      </c>
      <c r="H195">
        <v>48000</v>
      </c>
      <c r="I195">
        <v>1</v>
      </c>
      <c r="J195">
        <v>360000</v>
      </c>
      <c r="K195">
        <v>350000</v>
      </c>
      <c r="L195">
        <v>1</v>
      </c>
      <c r="M195">
        <v>175000</v>
      </c>
      <c r="N195">
        <v>185938</v>
      </c>
      <c r="O195">
        <v>1</v>
      </c>
      <c r="P195">
        <v>58000</v>
      </c>
      <c r="Q195">
        <v>10000</v>
      </c>
      <c r="R195">
        <v>17.24</v>
      </c>
      <c r="S195">
        <v>1</v>
      </c>
      <c r="T195">
        <v>8800</v>
      </c>
      <c r="U195">
        <v>0</v>
      </c>
      <c r="V195">
        <v>0</v>
      </c>
    </row>
    <row r="196" spans="1:22">
      <c r="A196">
        <v>81</v>
      </c>
      <c r="B196" t="s">
        <v>139</v>
      </c>
      <c r="C196" t="s">
        <v>140</v>
      </c>
      <c r="D196" t="s">
        <v>59</v>
      </c>
      <c r="E196" t="s">
        <v>16</v>
      </c>
      <c r="F196">
        <v>1</v>
      </c>
      <c r="G196">
        <v>1</v>
      </c>
      <c r="H196">
        <v>335000</v>
      </c>
      <c r="I196">
        <v>1</v>
      </c>
      <c r="J196">
        <v>2800000</v>
      </c>
      <c r="K196">
        <v>2100000</v>
      </c>
      <c r="L196">
        <v>1</v>
      </c>
      <c r="M196">
        <v>750000</v>
      </c>
      <c r="N196">
        <v>824438</v>
      </c>
      <c r="O196">
        <v>1</v>
      </c>
      <c r="P196">
        <v>240000</v>
      </c>
      <c r="Q196">
        <v>32000</v>
      </c>
      <c r="R196">
        <v>13.33</v>
      </c>
      <c r="S196">
        <v>1</v>
      </c>
      <c r="T196">
        <v>72000</v>
      </c>
      <c r="U196">
        <v>1</v>
      </c>
      <c r="V196">
        <v>1</v>
      </c>
    </row>
    <row r="197" spans="1:22">
      <c r="A197">
        <v>82</v>
      </c>
      <c r="B197" t="s">
        <v>141</v>
      </c>
      <c r="C197" t="s">
        <v>142</v>
      </c>
      <c r="D197" t="s">
        <v>61</v>
      </c>
      <c r="E197" t="s">
        <v>17</v>
      </c>
      <c r="F197">
        <v>2</v>
      </c>
      <c r="G197">
        <v>1</v>
      </c>
      <c r="H197">
        <v>21000</v>
      </c>
      <c r="I197">
        <v>1</v>
      </c>
      <c r="J197">
        <v>48000</v>
      </c>
      <c r="K197">
        <v>44000</v>
      </c>
      <c r="L197">
        <v>1</v>
      </c>
      <c r="M197">
        <v>130000</v>
      </c>
      <c r="N197">
        <v>133900</v>
      </c>
      <c r="O197">
        <v>1</v>
      </c>
      <c r="P197">
        <v>35000</v>
      </c>
      <c r="Q197">
        <v>7000</v>
      </c>
      <c r="R197">
        <v>20</v>
      </c>
      <c r="S197">
        <v>1</v>
      </c>
      <c r="T197">
        <v>4500</v>
      </c>
      <c r="U197">
        <v>1</v>
      </c>
      <c r="V197">
        <v>1</v>
      </c>
    </row>
    <row r="198" spans="1:22">
      <c r="A198">
        <v>83</v>
      </c>
      <c r="B198" t="s">
        <v>143</v>
      </c>
      <c r="C198" t="s">
        <v>144</v>
      </c>
      <c r="D198" t="s">
        <v>61</v>
      </c>
      <c r="E198" t="s">
        <v>17</v>
      </c>
      <c r="F198">
        <v>1</v>
      </c>
      <c r="G198">
        <v>1</v>
      </c>
      <c r="H198">
        <v>178000</v>
      </c>
      <c r="I198">
        <v>1</v>
      </c>
      <c r="J198">
        <v>980000</v>
      </c>
      <c r="K198">
        <v>588000</v>
      </c>
      <c r="L198">
        <v>1</v>
      </c>
      <c r="M198">
        <v>580000</v>
      </c>
      <c r="N198">
        <v>661481</v>
      </c>
      <c r="O198">
        <v>1</v>
      </c>
      <c r="P198">
        <v>115000</v>
      </c>
      <c r="Q198">
        <v>20000</v>
      </c>
      <c r="R198">
        <v>17.39</v>
      </c>
      <c r="S198">
        <v>1</v>
      </c>
      <c r="T198">
        <v>14000</v>
      </c>
      <c r="U198">
        <v>1</v>
      </c>
      <c r="V198">
        <v>1</v>
      </c>
    </row>
    <row r="199" spans="1:22">
      <c r="A199">
        <v>84</v>
      </c>
      <c r="B199" t="s">
        <v>145</v>
      </c>
      <c r="C199" t="s">
        <v>146</v>
      </c>
      <c r="D199" t="s">
        <v>64</v>
      </c>
      <c r="E199" t="s">
        <v>13</v>
      </c>
      <c r="F199">
        <v>1</v>
      </c>
      <c r="G199">
        <v>1</v>
      </c>
      <c r="H199">
        <v>2450000</v>
      </c>
      <c r="I199">
        <v>1</v>
      </c>
      <c r="J199">
        <v>8200000</v>
      </c>
      <c r="K199">
        <v>6150000</v>
      </c>
      <c r="L199">
        <v>1</v>
      </c>
      <c r="M199">
        <v>4200000</v>
      </c>
      <c r="N199">
        <v>6055227</v>
      </c>
      <c r="O199">
        <v>1</v>
      </c>
      <c r="P199">
        <v>1750000</v>
      </c>
      <c r="Q199">
        <v>130000</v>
      </c>
      <c r="R199">
        <v>7.43</v>
      </c>
      <c r="S199">
        <v>1</v>
      </c>
      <c r="T199">
        <v>72000</v>
      </c>
      <c r="U199">
        <v>0</v>
      </c>
      <c r="V199">
        <v>0</v>
      </c>
    </row>
    <row r="200" spans="1:22">
      <c r="A200">
        <v>85</v>
      </c>
      <c r="B200" t="s">
        <v>147</v>
      </c>
      <c r="C200" t="s">
        <v>148</v>
      </c>
      <c r="D200" t="s">
        <v>64</v>
      </c>
      <c r="E200" t="s">
        <v>13</v>
      </c>
      <c r="F200">
        <v>2</v>
      </c>
      <c r="G200">
        <v>1</v>
      </c>
      <c r="H200">
        <v>128000</v>
      </c>
      <c r="I200">
        <v>1</v>
      </c>
      <c r="J200">
        <v>550000</v>
      </c>
      <c r="K200">
        <v>385000</v>
      </c>
      <c r="L200">
        <v>1</v>
      </c>
      <c r="M200">
        <v>420000</v>
      </c>
      <c r="N200">
        <v>447300</v>
      </c>
      <c r="O200">
        <v>1</v>
      </c>
      <c r="P200">
        <v>100000</v>
      </c>
      <c r="Q200">
        <v>18000</v>
      </c>
      <c r="R200">
        <v>18</v>
      </c>
      <c r="S200">
        <v>1</v>
      </c>
      <c r="T200">
        <v>8000</v>
      </c>
      <c r="U200">
        <v>1</v>
      </c>
      <c r="V200">
        <v>1</v>
      </c>
    </row>
    <row r="201" spans="1:22">
      <c r="A201">
        <v>86</v>
      </c>
      <c r="B201" t="s">
        <v>149</v>
      </c>
      <c r="C201" t="s">
        <v>150</v>
      </c>
      <c r="D201" t="s">
        <v>64</v>
      </c>
      <c r="E201" t="s">
        <v>13</v>
      </c>
      <c r="F201">
        <v>1</v>
      </c>
      <c r="G201">
        <v>1</v>
      </c>
      <c r="H201">
        <v>38500</v>
      </c>
      <c r="I201">
        <v>1</v>
      </c>
      <c r="J201">
        <v>58000</v>
      </c>
      <c r="K201">
        <v>56611</v>
      </c>
      <c r="L201">
        <v>1</v>
      </c>
      <c r="M201">
        <v>210000</v>
      </c>
      <c r="N201">
        <v>223125</v>
      </c>
      <c r="O201">
        <v>1</v>
      </c>
      <c r="P201">
        <v>40000</v>
      </c>
      <c r="Q201">
        <v>8000</v>
      </c>
      <c r="R201">
        <v>20</v>
      </c>
      <c r="S201">
        <v>1</v>
      </c>
      <c r="T201">
        <v>9500</v>
      </c>
      <c r="U201">
        <v>0</v>
      </c>
      <c r="V201">
        <v>0</v>
      </c>
    </row>
    <row r="202" spans="1:22">
      <c r="A202">
        <v>87</v>
      </c>
      <c r="B202" t="s">
        <v>151</v>
      </c>
      <c r="C202" t="s">
        <v>152</v>
      </c>
      <c r="D202" t="s">
        <v>92</v>
      </c>
      <c r="E202" t="s">
        <v>15</v>
      </c>
      <c r="F202">
        <v>1</v>
      </c>
      <c r="G202">
        <v>2</v>
      </c>
      <c r="H202">
        <v>647000</v>
      </c>
      <c r="I202">
        <v>1</v>
      </c>
      <c r="J202">
        <v>4000000</v>
      </c>
      <c r="K202">
        <v>2666667</v>
      </c>
      <c r="L202">
        <v>1</v>
      </c>
      <c r="M202">
        <v>1600000</v>
      </c>
      <c r="N202">
        <v>1960136</v>
      </c>
      <c r="O202">
        <v>1</v>
      </c>
      <c r="P202">
        <v>420000</v>
      </c>
      <c r="Q202">
        <v>45000</v>
      </c>
      <c r="R202">
        <v>10.71</v>
      </c>
      <c r="S202">
        <v>1</v>
      </c>
      <c r="T202">
        <v>36000</v>
      </c>
      <c r="U202">
        <v>1</v>
      </c>
      <c r="V202">
        <v>1</v>
      </c>
    </row>
    <row r="203" spans="1:22">
      <c r="A203">
        <v>88</v>
      </c>
      <c r="B203" t="s">
        <v>153</v>
      </c>
      <c r="C203" t="s">
        <v>154</v>
      </c>
      <c r="D203" t="s">
        <v>92</v>
      </c>
      <c r="E203" t="s">
        <v>15</v>
      </c>
      <c r="F203">
        <v>1</v>
      </c>
      <c r="G203">
        <v>1</v>
      </c>
      <c r="H203">
        <v>16500</v>
      </c>
      <c r="I203">
        <v>1</v>
      </c>
      <c r="J203">
        <v>290000</v>
      </c>
      <c r="K203">
        <v>289583</v>
      </c>
      <c r="L203">
        <v>1</v>
      </c>
      <c r="M203">
        <v>145000</v>
      </c>
      <c r="N203">
        <v>149350</v>
      </c>
      <c r="O203">
        <v>1</v>
      </c>
      <c r="P203">
        <v>50000</v>
      </c>
      <c r="Q203">
        <v>8000</v>
      </c>
      <c r="R203">
        <v>16</v>
      </c>
      <c r="S203">
        <v>1</v>
      </c>
      <c r="T203">
        <v>4200</v>
      </c>
      <c r="U203">
        <v>0</v>
      </c>
      <c r="V203">
        <v>0</v>
      </c>
    </row>
    <row r="204" spans="1:22">
      <c r="A204">
        <v>89</v>
      </c>
      <c r="B204" t="s">
        <v>155</v>
      </c>
      <c r="C204" t="s">
        <v>156</v>
      </c>
      <c r="D204" t="s">
        <v>84</v>
      </c>
      <c r="E204" t="s">
        <v>13</v>
      </c>
      <c r="F204">
        <v>1</v>
      </c>
      <c r="G204">
        <v>1</v>
      </c>
      <c r="H204">
        <v>1320000</v>
      </c>
      <c r="I204">
        <v>1</v>
      </c>
      <c r="J204">
        <v>6800000</v>
      </c>
      <c r="K204">
        <v>5780000</v>
      </c>
      <c r="L204">
        <v>1</v>
      </c>
      <c r="M204">
        <v>2200000</v>
      </c>
      <c r="N204">
        <v>2914080</v>
      </c>
      <c r="O204">
        <v>1</v>
      </c>
      <c r="P204">
        <v>550000</v>
      </c>
      <c r="Q204">
        <v>58000</v>
      </c>
      <c r="R204">
        <v>10.55</v>
      </c>
      <c r="S204">
        <v>1</v>
      </c>
      <c r="T204">
        <v>70000</v>
      </c>
      <c r="U204">
        <v>1</v>
      </c>
      <c r="V204">
        <v>1</v>
      </c>
    </row>
    <row r="205" spans="1:22">
      <c r="A205">
        <v>90</v>
      </c>
      <c r="B205" t="s">
        <v>157</v>
      </c>
      <c r="C205" t="s">
        <v>158</v>
      </c>
      <c r="D205" t="s">
        <v>84</v>
      </c>
      <c r="E205" t="s">
        <v>13</v>
      </c>
      <c r="F205">
        <v>1</v>
      </c>
      <c r="G205">
        <v>1</v>
      </c>
      <c r="H205">
        <v>85000</v>
      </c>
      <c r="I205">
        <v>1</v>
      </c>
      <c r="J205">
        <v>880000</v>
      </c>
      <c r="K205">
        <v>616000</v>
      </c>
      <c r="L205">
        <v>1</v>
      </c>
      <c r="M205">
        <v>380000</v>
      </c>
      <c r="N205">
        <v>417646</v>
      </c>
      <c r="O205">
        <v>1</v>
      </c>
      <c r="P205">
        <v>95000</v>
      </c>
      <c r="Q205">
        <v>17000</v>
      </c>
      <c r="R205">
        <v>17.89</v>
      </c>
      <c r="S205">
        <v>1</v>
      </c>
      <c r="T205">
        <v>22000</v>
      </c>
      <c r="U205">
        <v>0</v>
      </c>
      <c r="V205">
        <v>0</v>
      </c>
    </row>
    <row r="206" spans="1:22">
      <c r="A206">
        <v>91</v>
      </c>
      <c r="B206" t="s">
        <v>159</v>
      </c>
      <c r="C206" t="s">
        <v>160</v>
      </c>
      <c r="D206" t="s">
        <v>74</v>
      </c>
      <c r="E206" t="s">
        <v>16</v>
      </c>
      <c r="F206">
        <v>1</v>
      </c>
      <c r="G206">
        <v>1</v>
      </c>
      <c r="H206">
        <v>255000</v>
      </c>
      <c r="I206">
        <v>1</v>
      </c>
      <c r="J206">
        <v>950000</v>
      </c>
      <c r="K206">
        <v>593750</v>
      </c>
      <c r="L206">
        <v>1</v>
      </c>
      <c r="M206">
        <v>380000</v>
      </c>
      <c r="N206">
        <v>403750</v>
      </c>
      <c r="O206">
        <v>1</v>
      </c>
      <c r="P206">
        <v>95000</v>
      </c>
      <c r="Q206">
        <v>17000</v>
      </c>
      <c r="R206">
        <v>17.89</v>
      </c>
      <c r="S206">
        <v>1</v>
      </c>
      <c r="T206">
        <v>11000</v>
      </c>
      <c r="U206">
        <v>1</v>
      </c>
      <c r="V206">
        <v>1</v>
      </c>
    </row>
    <row r="207" spans="1:22">
      <c r="A207">
        <v>92</v>
      </c>
      <c r="B207" t="s">
        <v>161</v>
      </c>
      <c r="C207" t="s">
        <v>162</v>
      </c>
      <c r="D207" t="s">
        <v>74</v>
      </c>
      <c r="E207" t="s">
        <v>16</v>
      </c>
      <c r="F207">
        <v>1</v>
      </c>
      <c r="G207">
        <v>1</v>
      </c>
      <c r="H207">
        <v>62500</v>
      </c>
      <c r="I207">
        <v>1</v>
      </c>
      <c r="J207">
        <v>410000</v>
      </c>
      <c r="K207">
        <v>398611</v>
      </c>
      <c r="L207">
        <v>1</v>
      </c>
      <c r="M207">
        <v>265000</v>
      </c>
      <c r="N207">
        <v>282225</v>
      </c>
      <c r="O207">
        <v>1</v>
      </c>
      <c r="P207">
        <v>82000</v>
      </c>
      <c r="Q207">
        <v>14000</v>
      </c>
      <c r="R207">
        <v>17.07</v>
      </c>
      <c r="S207">
        <v>1</v>
      </c>
      <c r="T207">
        <v>11000</v>
      </c>
      <c r="U207">
        <v>0</v>
      </c>
      <c r="V207">
        <v>0</v>
      </c>
    </row>
    <row r="208" spans="1:22">
      <c r="A208">
        <v>93</v>
      </c>
      <c r="B208" t="s">
        <v>163</v>
      </c>
      <c r="C208" t="s">
        <v>164</v>
      </c>
      <c r="D208" t="s">
        <v>165</v>
      </c>
      <c r="E208" t="s">
        <v>15</v>
      </c>
      <c r="F208">
        <v>2</v>
      </c>
      <c r="G208">
        <v>2</v>
      </c>
      <c r="H208">
        <v>370000</v>
      </c>
      <c r="I208">
        <v>1</v>
      </c>
      <c r="J208">
        <v>4500000</v>
      </c>
      <c r="K208">
        <v>3600000</v>
      </c>
      <c r="L208">
        <v>1</v>
      </c>
      <c r="M208">
        <v>890000</v>
      </c>
      <c r="N208">
        <v>978302</v>
      </c>
      <c r="O208">
        <v>1</v>
      </c>
      <c r="P208">
        <v>260000</v>
      </c>
      <c r="Q208">
        <v>35000</v>
      </c>
      <c r="R208">
        <v>13.46</v>
      </c>
      <c r="S208">
        <v>1</v>
      </c>
      <c r="T208">
        <v>40000</v>
      </c>
      <c r="U208">
        <v>1</v>
      </c>
      <c r="V208">
        <v>1</v>
      </c>
    </row>
    <row r="209" spans="1:22">
      <c r="A209">
        <v>94</v>
      </c>
      <c r="B209" t="s">
        <v>166</v>
      </c>
      <c r="C209" t="s">
        <v>164</v>
      </c>
      <c r="D209" t="s">
        <v>165</v>
      </c>
      <c r="E209" t="s">
        <v>15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 t="s">
        <v>52</v>
      </c>
      <c r="S209">
        <v>0</v>
      </c>
      <c r="T209">
        <v>0</v>
      </c>
      <c r="U209">
        <v>1</v>
      </c>
      <c r="V209">
        <v>1</v>
      </c>
    </row>
    <row r="210" spans="1:22">
      <c r="A210">
        <v>95</v>
      </c>
      <c r="B210" t="s">
        <v>167</v>
      </c>
      <c r="C210" t="s">
        <v>168</v>
      </c>
      <c r="D210" t="s">
        <v>169</v>
      </c>
      <c r="E210" t="s">
        <v>17</v>
      </c>
      <c r="F210">
        <v>1</v>
      </c>
      <c r="G210">
        <v>1</v>
      </c>
      <c r="H210">
        <v>112000</v>
      </c>
      <c r="I210">
        <v>1</v>
      </c>
      <c r="J210">
        <v>320000</v>
      </c>
      <c r="K210">
        <v>315556</v>
      </c>
      <c r="L210">
        <v>1</v>
      </c>
      <c r="M210">
        <v>450000</v>
      </c>
      <c r="N210">
        <v>479250</v>
      </c>
      <c r="O210">
        <v>1</v>
      </c>
      <c r="P210">
        <v>88000</v>
      </c>
      <c r="Q210">
        <v>16000</v>
      </c>
      <c r="R210">
        <v>18.18</v>
      </c>
      <c r="S210">
        <v>1</v>
      </c>
      <c r="T210">
        <v>5500</v>
      </c>
      <c r="U210">
        <v>0</v>
      </c>
      <c r="V210">
        <v>0</v>
      </c>
    </row>
    <row r="211" spans="1:22">
      <c r="A211">
        <v>96</v>
      </c>
      <c r="B211" t="s">
        <v>170</v>
      </c>
      <c r="C211" t="s">
        <v>171</v>
      </c>
      <c r="D211" t="s">
        <v>172</v>
      </c>
      <c r="E211" t="s">
        <v>15</v>
      </c>
      <c r="F211">
        <v>1</v>
      </c>
      <c r="G211">
        <v>1</v>
      </c>
      <c r="H211">
        <v>475000</v>
      </c>
      <c r="I211">
        <v>1</v>
      </c>
      <c r="J211">
        <v>1450000</v>
      </c>
      <c r="K211">
        <v>942500</v>
      </c>
      <c r="L211">
        <v>1</v>
      </c>
      <c r="M211">
        <v>1450000</v>
      </c>
      <c r="N211">
        <v>1776573</v>
      </c>
      <c r="O211">
        <v>1</v>
      </c>
      <c r="P211">
        <v>480000</v>
      </c>
      <c r="Q211">
        <v>52000</v>
      </c>
      <c r="R211">
        <v>10.83</v>
      </c>
      <c r="S211">
        <v>1</v>
      </c>
      <c r="T211">
        <v>58000</v>
      </c>
      <c r="U211">
        <v>1</v>
      </c>
      <c r="V211">
        <v>1</v>
      </c>
    </row>
    <row r="212" spans="1:22">
      <c r="A212">
        <v>97</v>
      </c>
      <c r="B212" t="s">
        <v>173</v>
      </c>
      <c r="C212" t="s">
        <v>174</v>
      </c>
      <c r="D212" t="s">
        <v>86</v>
      </c>
      <c r="E212" t="s">
        <v>15</v>
      </c>
      <c r="F212">
        <v>1</v>
      </c>
      <c r="G212">
        <v>1</v>
      </c>
      <c r="H212">
        <v>32500</v>
      </c>
      <c r="I212">
        <v>1</v>
      </c>
      <c r="J212">
        <v>82000</v>
      </c>
      <c r="K212">
        <v>80056</v>
      </c>
      <c r="L212">
        <v>1</v>
      </c>
      <c r="M212">
        <v>180000</v>
      </c>
      <c r="N212">
        <v>191250</v>
      </c>
      <c r="O212">
        <v>1</v>
      </c>
      <c r="P212">
        <v>55000</v>
      </c>
      <c r="Q212">
        <v>10000</v>
      </c>
      <c r="R212">
        <v>18.18</v>
      </c>
      <c r="S212">
        <v>1</v>
      </c>
      <c r="T212">
        <v>7800</v>
      </c>
      <c r="U212">
        <v>0</v>
      </c>
      <c r="V212">
        <v>0</v>
      </c>
    </row>
    <row r="213" spans="1:22">
      <c r="A213">
        <v>98</v>
      </c>
      <c r="B213" t="s">
        <v>175</v>
      </c>
      <c r="C213" t="s">
        <v>174</v>
      </c>
      <c r="D213" t="s">
        <v>86</v>
      </c>
      <c r="E213" t="s">
        <v>15</v>
      </c>
      <c r="F213">
        <v>1</v>
      </c>
      <c r="G213">
        <v>1</v>
      </c>
      <c r="H213">
        <v>168000</v>
      </c>
      <c r="I213">
        <v>1</v>
      </c>
      <c r="J213">
        <v>620000</v>
      </c>
      <c r="K213">
        <v>449500</v>
      </c>
      <c r="L213">
        <v>1</v>
      </c>
      <c r="M213">
        <v>320000</v>
      </c>
      <c r="N213">
        <v>340800</v>
      </c>
      <c r="O213">
        <v>1</v>
      </c>
      <c r="P213">
        <v>105000</v>
      </c>
      <c r="Q213">
        <v>17000</v>
      </c>
      <c r="R213">
        <v>16.19</v>
      </c>
      <c r="S213">
        <v>1</v>
      </c>
      <c r="T213">
        <v>6800</v>
      </c>
      <c r="U213">
        <v>1</v>
      </c>
      <c r="V213">
        <v>1</v>
      </c>
    </row>
    <row r="214" spans="1:22">
      <c r="A214">
        <v>99</v>
      </c>
      <c r="B214" t="s">
        <v>176</v>
      </c>
      <c r="C214" t="s">
        <v>177</v>
      </c>
      <c r="D214" t="s">
        <v>178</v>
      </c>
      <c r="E214" t="s">
        <v>14</v>
      </c>
      <c r="F214">
        <v>1</v>
      </c>
      <c r="G214">
        <v>1</v>
      </c>
      <c r="H214">
        <v>55500</v>
      </c>
      <c r="I214">
        <v>1</v>
      </c>
      <c r="J214">
        <v>240000</v>
      </c>
      <c r="K214">
        <v>240000</v>
      </c>
      <c r="L214">
        <v>1</v>
      </c>
      <c r="M214">
        <v>295000</v>
      </c>
      <c r="N214">
        <v>324225</v>
      </c>
      <c r="O214">
        <v>1</v>
      </c>
      <c r="P214">
        <v>38000</v>
      </c>
      <c r="Q214">
        <v>8000</v>
      </c>
      <c r="R214">
        <v>21.05</v>
      </c>
      <c r="S214">
        <v>1</v>
      </c>
      <c r="T214">
        <v>4800</v>
      </c>
      <c r="U214">
        <v>0</v>
      </c>
      <c r="V214">
        <v>0</v>
      </c>
    </row>
    <row r="215" spans="1:22">
      <c r="A215">
        <v>100</v>
      </c>
      <c r="B215" t="s">
        <v>179</v>
      </c>
      <c r="C215" t="s">
        <v>180</v>
      </c>
      <c r="D215" t="s">
        <v>181</v>
      </c>
      <c r="E215" t="s">
        <v>14</v>
      </c>
      <c r="F215">
        <v>1</v>
      </c>
      <c r="G215">
        <v>1</v>
      </c>
      <c r="H215">
        <v>305000</v>
      </c>
      <c r="I215">
        <v>1</v>
      </c>
      <c r="J215">
        <v>3200000</v>
      </c>
      <c r="K215">
        <v>2560000</v>
      </c>
      <c r="L215">
        <v>1</v>
      </c>
      <c r="M215">
        <v>680000</v>
      </c>
      <c r="N215">
        <v>775602</v>
      </c>
      <c r="O215">
        <v>1</v>
      </c>
      <c r="P215">
        <v>210000</v>
      </c>
      <c r="Q215">
        <v>28000</v>
      </c>
      <c r="R215">
        <v>13.33</v>
      </c>
      <c r="S215">
        <v>1</v>
      </c>
      <c r="T215">
        <v>34000</v>
      </c>
      <c r="U215">
        <v>1</v>
      </c>
      <c r="V215">
        <v>1</v>
      </c>
    </row>
    <row r="216" spans="1:22">
      <c r="A216">
        <v>101</v>
      </c>
      <c r="B216" t="s">
        <v>182</v>
      </c>
      <c r="C216" t="s">
        <v>183</v>
      </c>
      <c r="D216" t="s">
        <v>184</v>
      </c>
      <c r="E216" t="s">
        <v>14</v>
      </c>
      <c r="F216">
        <v>1</v>
      </c>
      <c r="G216">
        <v>1</v>
      </c>
      <c r="H216">
        <v>78500</v>
      </c>
      <c r="I216">
        <v>1</v>
      </c>
      <c r="J216">
        <v>52000</v>
      </c>
      <c r="K216">
        <v>52000</v>
      </c>
      <c r="L216">
        <v>1</v>
      </c>
      <c r="M216">
        <v>220000</v>
      </c>
      <c r="N216">
        <v>233750</v>
      </c>
      <c r="O216">
        <v>1</v>
      </c>
      <c r="P216">
        <v>52000</v>
      </c>
      <c r="Q216">
        <v>10000</v>
      </c>
      <c r="R216">
        <v>19.23</v>
      </c>
      <c r="S216">
        <v>1</v>
      </c>
      <c r="T216">
        <v>8500</v>
      </c>
      <c r="U216">
        <v>0</v>
      </c>
      <c r="V216">
        <v>0</v>
      </c>
    </row>
    <row r="217" spans="1:22">
      <c r="A217">
        <v>102</v>
      </c>
      <c r="B217" t="s">
        <v>185</v>
      </c>
      <c r="C217" t="s">
        <v>186</v>
      </c>
      <c r="D217" t="s">
        <v>187</v>
      </c>
      <c r="E217" t="s">
        <v>14</v>
      </c>
      <c r="F217">
        <v>1</v>
      </c>
      <c r="G217">
        <v>1</v>
      </c>
      <c r="H217">
        <v>24000</v>
      </c>
      <c r="I217">
        <v>1</v>
      </c>
      <c r="J217">
        <v>85000</v>
      </c>
      <c r="K217">
        <v>70833</v>
      </c>
      <c r="L217">
        <v>1</v>
      </c>
      <c r="M217">
        <v>240000</v>
      </c>
      <c r="N217">
        <v>255000</v>
      </c>
      <c r="O217">
        <v>1</v>
      </c>
      <c r="P217">
        <v>50000</v>
      </c>
      <c r="Q217">
        <v>8000</v>
      </c>
      <c r="R217">
        <v>16</v>
      </c>
      <c r="S217">
        <v>1</v>
      </c>
      <c r="T217">
        <v>9500</v>
      </c>
      <c r="U217">
        <v>1</v>
      </c>
      <c r="V217">
        <v>1</v>
      </c>
    </row>
    <row r="218" spans="1:22">
      <c r="A218">
        <v>103</v>
      </c>
      <c r="B218" t="s">
        <v>188</v>
      </c>
      <c r="C218" t="s">
        <v>189</v>
      </c>
      <c r="D218" t="s">
        <v>190</v>
      </c>
      <c r="E218" t="s">
        <v>14</v>
      </c>
      <c r="F218">
        <v>1</v>
      </c>
      <c r="G218">
        <v>1</v>
      </c>
      <c r="H218">
        <v>1580000</v>
      </c>
      <c r="I218">
        <v>1</v>
      </c>
      <c r="J218">
        <v>9800000</v>
      </c>
      <c r="K218">
        <v>6860000</v>
      </c>
      <c r="L218">
        <v>1</v>
      </c>
      <c r="M218">
        <v>3800000</v>
      </c>
      <c r="N218">
        <v>5478623</v>
      </c>
      <c r="O218">
        <v>1</v>
      </c>
      <c r="P218">
        <v>1550000</v>
      </c>
      <c r="Q218">
        <v>125000</v>
      </c>
      <c r="R218">
        <v>8.06</v>
      </c>
      <c r="S218">
        <v>1</v>
      </c>
      <c r="T218">
        <v>65000</v>
      </c>
      <c r="U218">
        <v>0</v>
      </c>
      <c r="V218">
        <v>0</v>
      </c>
    </row>
    <row r="219" spans="1:22">
      <c r="A219">
        <v>104</v>
      </c>
      <c r="B219" t="s">
        <v>191</v>
      </c>
      <c r="C219" t="s">
        <v>192</v>
      </c>
      <c r="D219" t="s">
        <v>24</v>
      </c>
      <c r="E219" t="s">
        <v>14</v>
      </c>
      <c r="F219">
        <v>1</v>
      </c>
      <c r="G219">
        <v>1</v>
      </c>
      <c r="H219">
        <v>95500</v>
      </c>
      <c r="I219">
        <v>1</v>
      </c>
      <c r="J219">
        <v>2200000</v>
      </c>
      <c r="K219">
        <v>1414286</v>
      </c>
      <c r="L219">
        <v>1</v>
      </c>
      <c r="M219">
        <v>950000</v>
      </c>
      <c r="N219">
        <v>1044094</v>
      </c>
      <c r="O219">
        <v>1</v>
      </c>
      <c r="P219">
        <v>130000</v>
      </c>
      <c r="Q219">
        <v>22000</v>
      </c>
      <c r="R219">
        <v>16.92</v>
      </c>
      <c r="S219">
        <v>1</v>
      </c>
      <c r="T219">
        <v>26000</v>
      </c>
      <c r="U219">
        <v>1</v>
      </c>
      <c r="V219">
        <v>1</v>
      </c>
    </row>
    <row r="220" spans="1:22">
      <c r="A220">
        <v>105</v>
      </c>
      <c r="B220" t="s">
        <v>193</v>
      </c>
      <c r="C220" t="s">
        <v>194</v>
      </c>
      <c r="D220" t="s">
        <v>195</v>
      </c>
      <c r="E220" t="s">
        <v>14</v>
      </c>
      <c r="F220">
        <v>1</v>
      </c>
      <c r="G220">
        <v>1</v>
      </c>
      <c r="H220">
        <v>42500</v>
      </c>
      <c r="I220">
        <v>1</v>
      </c>
      <c r="J220">
        <v>380000</v>
      </c>
      <c r="K220">
        <v>380000</v>
      </c>
      <c r="L220">
        <v>1</v>
      </c>
      <c r="M220">
        <v>195000</v>
      </c>
      <c r="N220">
        <v>207188</v>
      </c>
      <c r="O220">
        <v>1</v>
      </c>
      <c r="P220">
        <v>42000</v>
      </c>
      <c r="Q220">
        <v>7000</v>
      </c>
      <c r="R220">
        <v>16.67</v>
      </c>
      <c r="S220">
        <v>1</v>
      </c>
      <c r="T220">
        <v>6500</v>
      </c>
      <c r="U220">
        <v>0</v>
      </c>
      <c r="V220">
        <v>0</v>
      </c>
    </row>
    <row r="221" spans="1:22">
      <c r="A221">
        <v>106</v>
      </c>
      <c r="B221" t="s">
        <v>196</v>
      </c>
      <c r="C221" t="s">
        <v>197</v>
      </c>
      <c r="D221" t="s">
        <v>25</v>
      </c>
      <c r="E221" t="s">
        <v>14</v>
      </c>
      <c r="F221">
        <v>2</v>
      </c>
      <c r="G221">
        <v>2</v>
      </c>
      <c r="H221">
        <v>450500</v>
      </c>
      <c r="I221">
        <v>1</v>
      </c>
      <c r="J221">
        <v>5500000</v>
      </c>
      <c r="K221">
        <v>4400000</v>
      </c>
      <c r="L221">
        <v>1</v>
      </c>
      <c r="M221">
        <v>1750000</v>
      </c>
      <c r="N221">
        <v>2144003</v>
      </c>
      <c r="O221">
        <v>1</v>
      </c>
      <c r="P221">
        <v>350000</v>
      </c>
      <c r="Q221">
        <v>45000</v>
      </c>
      <c r="R221">
        <v>12.86</v>
      </c>
      <c r="S221">
        <v>1</v>
      </c>
      <c r="T221">
        <v>44000</v>
      </c>
      <c r="U221">
        <v>1</v>
      </c>
      <c r="V221">
        <v>1</v>
      </c>
    </row>
    <row r="222" spans="1:22">
      <c r="A222">
        <v>107</v>
      </c>
      <c r="B222" t="s">
        <v>198</v>
      </c>
      <c r="C222" t="s">
        <v>199</v>
      </c>
      <c r="D222" t="s">
        <v>25</v>
      </c>
      <c r="E222" t="s">
        <v>14</v>
      </c>
      <c r="F222">
        <v>2</v>
      </c>
      <c r="G222">
        <v>1</v>
      </c>
      <c r="H222">
        <v>138000</v>
      </c>
      <c r="I222">
        <v>1</v>
      </c>
      <c r="J222">
        <v>1050000</v>
      </c>
      <c r="K222">
        <v>735000</v>
      </c>
      <c r="L222">
        <v>1</v>
      </c>
      <c r="M222">
        <v>350000</v>
      </c>
      <c r="N222">
        <v>384738</v>
      </c>
      <c r="O222">
        <v>1</v>
      </c>
      <c r="P222">
        <v>100000</v>
      </c>
      <c r="Q222">
        <v>18000</v>
      </c>
      <c r="R222">
        <v>18</v>
      </c>
      <c r="S222">
        <v>1</v>
      </c>
      <c r="T222">
        <v>20000</v>
      </c>
      <c r="U222">
        <v>1</v>
      </c>
      <c r="V222">
        <v>1</v>
      </c>
    </row>
    <row r="223" spans="1:22">
      <c r="A223">
        <v>108</v>
      </c>
      <c r="B223" t="s">
        <v>200</v>
      </c>
      <c r="C223" t="s">
        <v>50</v>
      </c>
      <c r="D223" t="s">
        <v>51</v>
      </c>
      <c r="E223" t="s">
        <v>17</v>
      </c>
      <c r="F223">
        <v>1</v>
      </c>
      <c r="G223">
        <v>1</v>
      </c>
      <c r="H223">
        <v>285500</v>
      </c>
      <c r="I223">
        <v>1</v>
      </c>
      <c r="J223">
        <v>1600000</v>
      </c>
      <c r="K223">
        <v>1066667</v>
      </c>
      <c r="L223">
        <v>1</v>
      </c>
      <c r="M223">
        <v>580000</v>
      </c>
      <c r="N223">
        <v>617700</v>
      </c>
      <c r="O223">
        <v>1</v>
      </c>
      <c r="P223">
        <v>185000</v>
      </c>
      <c r="Q223">
        <v>27000</v>
      </c>
      <c r="R223">
        <v>14.59</v>
      </c>
      <c r="S223">
        <v>1</v>
      </c>
      <c r="T223">
        <v>30000</v>
      </c>
      <c r="U223">
        <v>1</v>
      </c>
      <c r="V223">
        <v>1</v>
      </c>
    </row>
    <row r="224" spans="1:22">
      <c r="A224">
        <v>109</v>
      </c>
      <c r="B224" t="s">
        <v>4</v>
      </c>
      <c r="C224" t="s">
        <v>50</v>
      </c>
      <c r="D224" t="s">
        <v>51</v>
      </c>
      <c r="E224" t="s">
        <v>17</v>
      </c>
      <c r="F224">
        <v>1</v>
      </c>
      <c r="G224">
        <v>1</v>
      </c>
      <c r="H224">
        <v>102000</v>
      </c>
      <c r="I224">
        <v>1</v>
      </c>
      <c r="J224">
        <v>450000</v>
      </c>
      <c r="K224">
        <v>356250</v>
      </c>
      <c r="L224">
        <v>1</v>
      </c>
      <c r="M224">
        <v>420000</v>
      </c>
      <c r="N224">
        <v>447300</v>
      </c>
      <c r="O224">
        <v>1</v>
      </c>
      <c r="P224">
        <v>90000</v>
      </c>
      <c r="Q224">
        <v>15000</v>
      </c>
      <c r="R224">
        <v>16.67</v>
      </c>
      <c r="S224">
        <v>1</v>
      </c>
      <c r="T224">
        <v>9800</v>
      </c>
      <c r="U224">
        <v>0</v>
      </c>
      <c r="V224">
        <v>0</v>
      </c>
    </row>
    <row r="225" spans="1:22">
      <c r="A225">
        <v>110</v>
      </c>
      <c r="B225" t="s">
        <v>201</v>
      </c>
      <c r="C225" t="s">
        <v>50</v>
      </c>
      <c r="D225" t="s">
        <v>51</v>
      </c>
      <c r="E225" t="s">
        <v>17</v>
      </c>
      <c r="F225">
        <v>1</v>
      </c>
      <c r="G225">
        <v>1</v>
      </c>
      <c r="H225">
        <v>545000</v>
      </c>
      <c r="I225">
        <v>1</v>
      </c>
      <c r="J225">
        <v>480000</v>
      </c>
      <c r="K225">
        <v>360000</v>
      </c>
      <c r="L225">
        <v>1</v>
      </c>
      <c r="M225">
        <v>1200000</v>
      </c>
      <c r="N225">
        <v>1572480</v>
      </c>
      <c r="O225">
        <v>1</v>
      </c>
      <c r="P225">
        <v>620000</v>
      </c>
      <c r="Q225">
        <v>55000</v>
      </c>
      <c r="R225">
        <v>8.87</v>
      </c>
      <c r="S225">
        <v>1</v>
      </c>
      <c r="T225">
        <v>52000</v>
      </c>
      <c r="U225">
        <v>1</v>
      </c>
      <c r="V225">
        <v>1</v>
      </c>
    </row>
    <row r="226" spans="1:22">
      <c r="A226">
        <v>111</v>
      </c>
      <c r="B226" t="s">
        <v>202</v>
      </c>
      <c r="C226" t="s">
        <v>50</v>
      </c>
      <c r="D226" t="s">
        <v>51</v>
      </c>
      <c r="E226" t="s">
        <v>17</v>
      </c>
      <c r="F226">
        <v>1</v>
      </c>
      <c r="G226">
        <v>1</v>
      </c>
      <c r="H226">
        <v>58500</v>
      </c>
      <c r="I226">
        <v>1</v>
      </c>
      <c r="J226">
        <v>70000</v>
      </c>
      <c r="K226">
        <v>68611</v>
      </c>
      <c r="L226">
        <v>1</v>
      </c>
      <c r="M226">
        <v>280000</v>
      </c>
      <c r="N226">
        <v>298200</v>
      </c>
      <c r="O226">
        <v>1</v>
      </c>
      <c r="P226">
        <v>58000</v>
      </c>
      <c r="Q226">
        <v>10000</v>
      </c>
      <c r="R226">
        <v>17.24</v>
      </c>
      <c r="S226">
        <v>1</v>
      </c>
      <c r="T226">
        <v>5200</v>
      </c>
      <c r="U226">
        <v>0</v>
      </c>
      <c r="V226">
        <v>0</v>
      </c>
    </row>
    <row r="227" spans="1:22">
      <c r="A227">
        <v>112</v>
      </c>
      <c r="B227" t="s">
        <v>203</v>
      </c>
      <c r="C227" t="s">
        <v>50</v>
      </c>
      <c r="D227" t="s">
        <v>51</v>
      </c>
      <c r="E227" t="s">
        <v>17</v>
      </c>
      <c r="F227">
        <v>1</v>
      </c>
      <c r="G227">
        <v>1</v>
      </c>
      <c r="H227">
        <v>218000</v>
      </c>
      <c r="I227">
        <v>1</v>
      </c>
      <c r="J227">
        <v>4000000</v>
      </c>
      <c r="K227">
        <v>3466667</v>
      </c>
      <c r="L227">
        <v>1</v>
      </c>
      <c r="M227">
        <v>450000</v>
      </c>
      <c r="N227">
        <v>479250</v>
      </c>
      <c r="O227">
        <v>1</v>
      </c>
      <c r="P227">
        <v>125000</v>
      </c>
      <c r="Q227">
        <v>20000</v>
      </c>
      <c r="R227">
        <v>16</v>
      </c>
      <c r="S227">
        <v>1</v>
      </c>
      <c r="T227">
        <v>17000</v>
      </c>
      <c r="U227">
        <v>1</v>
      </c>
      <c r="V227">
        <v>1</v>
      </c>
    </row>
    <row r="228" spans="1:22">
      <c r="A228">
        <v>113</v>
      </c>
      <c r="B228" t="s">
        <v>204</v>
      </c>
      <c r="C228" t="s">
        <v>50</v>
      </c>
      <c r="D228" t="s">
        <v>51</v>
      </c>
      <c r="E228" t="s">
        <v>17</v>
      </c>
      <c r="F228">
        <v>1</v>
      </c>
      <c r="G228">
        <v>1</v>
      </c>
      <c r="H228">
        <v>35500</v>
      </c>
      <c r="I228">
        <v>1</v>
      </c>
      <c r="J228">
        <v>35000</v>
      </c>
      <c r="K228">
        <v>35000</v>
      </c>
      <c r="L228">
        <v>1</v>
      </c>
      <c r="M228">
        <v>165000</v>
      </c>
      <c r="N228">
        <v>175313</v>
      </c>
      <c r="O228">
        <v>1</v>
      </c>
      <c r="P228">
        <v>35000</v>
      </c>
      <c r="Q228">
        <v>7000</v>
      </c>
      <c r="R228">
        <v>20</v>
      </c>
      <c r="S228">
        <v>1</v>
      </c>
      <c r="T228">
        <v>7200</v>
      </c>
      <c r="U228">
        <v>0</v>
      </c>
      <c r="V228">
        <v>0</v>
      </c>
    </row>
    <row r="229" spans="1:22">
      <c r="A229">
        <v>114</v>
      </c>
      <c r="B229" t="s">
        <v>8</v>
      </c>
      <c r="C229" t="s">
        <v>50</v>
      </c>
      <c r="D229" t="s">
        <v>51</v>
      </c>
      <c r="E229" t="s">
        <v>17</v>
      </c>
      <c r="F229">
        <v>1</v>
      </c>
      <c r="G229">
        <v>1</v>
      </c>
      <c r="H229">
        <v>398000</v>
      </c>
      <c r="I229">
        <v>1</v>
      </c>
      <c r="J229">
        <v>2500000</v>
      </c>
      <c r="K229">
        <v>1875000</v>
      </c>
      <c r="L229">
        <v>1</v>
      </c>
      <c r="M229">
        <v>820000</v>
      </c>
      <c r="N229">
        <v>935273</v>
      </c>
      <c r="O229">
        <v>1</v>
      </c>
      <c r="P229">
        <v>275000</v>
      </c>
      <c r="Q229">
        <v>37000</v>
      </c>
      <c r="R229">
        <v>13.45</v>
      </c>
      <c r="S229">
        <v>1</v>
      </c>
      <c r="T229">
        <v>38000</v>
      </c>
      <c r="U229">
        <v>1</v>
      </c>
      <c r="V229">
        <v>1</v>
      </c>
    </row>
    <row r="230" spans="1:22">
      <c r="A230">
        <v>115</v>
      </c>
      <c r="B230" t="s">
        <v>205</v>
      </c>
      <c r="C230" t="s">
        <v>50</v>
      </c>
      <c r="D230" t="s">
        <v>51</v>
      </c>
      <c r="E230" t="s">
        <v>17</v>
      </c>
      <c r="F230">
        <v>1</v>
      </c>
      <c r="G230">
        <v>1</v>
      </c>
      <c r="H230">
        <v>125500</v>
      </c>
      <c r="I230">
        <v>1</v>
      </c>
      <c r="J230">
        <v>520000</v>
      </c>
      <c r="K230">
        <v>422500</v>
      </c>
      <c r="L230">
        <v>1</v>
      </c>
      <c r="M230">
        <v>385000</v>
      </c>
      <c r="N230">
        <v>423178</v>
      </c>
      <c r="O230">
        <v>1</v>
      </c>
      <c r="P230">
        <v>78000</v>
      </c>
      <c r="Q230">
        <v>13000</v>
      </c>
      <c r="R230">
        <v>16.67</v>
      </c>
      <c r="S230">
        <v>1</v>
      </c>
      <c r="T230">
        <v>6500</v>
      </c>
      <c r="U230">
        <v>0</v>
      </c>
      <c r="V230">
        <v>0</v>
      </c>
    </row>
    <row r="231" spans="1:22">
      <c r="A231">
        <v>116</v>
      </c>
      <c r="B231" t="s">
        <v>206</v>
      </c>
      <c r="C231" t="s">
        <v>50</v>
      </c>
      <c r="D231" t="s">
        <v>51</v>
      </c>
      <c r="E231" t="s">
        <v>17</v>
      </c>
      <c r="F231">
        <v>1</v>
      </c>
      <c r="G231">
        <v>1</v>
      </c>
      <c r="H231">
        <v>275500</v>
      </c>
      <c r="I231">
        <v>1</v>
      </c>
      <c r="J231">
        <v>1100000</v>
      </c>
      <c r="K231">
        <v>733333</v>
      </c>
      <c r="L231">
        <v>1</v>
      </c>
      <c r="M231">
        <v>650000</v>
      </c>
      <c r="N231">
        <v>714456</v>
      </c>
      <c r="O231">
        <v>1</v>
      </c>
      <c r="P231">
        <v>115000</v>
      </c>
      <c r="Q231">
        <v>20000</v>
      </c>
      <c r="R231">
        <v>17.39</v>
      </c>
      <c r="S231">
        <v>1</v>
      </c>
      <c r="T231">
        <v>7500</v>
      </c>
      <c r="U231">
        <v>1</v>
      </c>
      <c r="V231">
        <v>1</v>
      </c>
    </row>
    <row r="232" spans="1:22">
      <c r="A232">
        <v>117</v>
      </c>
      <c r="B232" t="s">
        <v>207</v>
      </c>
      <c r="C232" t="s">
        <v>50</v>
      </c>
      <c r="D232" t="s">
        <v>51</v>
      </c>
      <c r="E232" t="s">
        <v>17</v>
      </c>
      <c r="F232">
        <v>1</v>
      </c>
      <c r="G232">
        <v>1</v>
      </c>
      <c r="H232">
        <v>68500</v>
      </c>
      <c r="I232">
        <v>1</v>
      </c>
      <c r="J232">
        <v>75000</v>
      </c>
      <c r="K232">
        <v>72917</v>
      </c>
      <c r="L232">
        <v>1</v>
      </c>
      <c r="M232">
        <v>240000</v>
      </c>
      <c r="N232">
        <v>255000</v>
      </c>
      <c r="O232">
        <v>1</v>
      </c>
      <c r="P232">
        <v>55000</v>
      </c>
      <c r="Q232">
        <v>10000</v>
      </c>
      <c r="R232">
        <v>18.18</v>
      </c>
      <c r="S232">
        <v>1</v>
      </c>
      <c r="T232">
        <v>8200</v>
      </c>
      <c r="U232">
        <v>0</v>
      </c>
      <c r="V232">
        <v>0</v>
      </c>
    </row>
    <row r="233" spans="1:22">
      <c r="A233">
        <v>118</v>
      </c>
      <c r="B233" t="s">
        <v>208</v>
      </c>
      <c r="C233" t="s">
        <v>50</v>
      </c>
      <c r="D233" t="s">
        <v>51</v>
      </c>
      <c r="E233" t="s">
        <v>17</v>
      </c>
      <c r="F233">
        <v>1</v>
      </c>
      <c r="G233">
        <v>1</v>
      </c>
      <c r="H233">
        <v>485500</v>
      </c>
      <c r="I233">
        <v>1</v>
      </c>
      <c r="J233">
        <v>6200000</v>
      </c>
      <c r="K233">
        <v>5270000</v>
      </c>
      <c r="L233">
        <v>1</v>
      </c>
      <c r="M233">
        <v>1380000</v>
      </c>
      <c r="N233">
        <v>1690766</v>
      </c>
      <c r="O233">
        <v>1</v>
      </c>
      <c r="P233">
        <v>400000</v>
      </c>
      <c r="Q233">
        <v>45000</v>
      </c>
      <c r="R233">
        <v>11.25</v>
      </c>
      <c r="S233">
        <v>1</v>
      </c>
      <c r="T233">
        <v>78000</v>
      </c>
      <c r="U233">
        <v>1</v>
      </c>
      <c r="V233">
        <v>1</v>
      </c>
    </row>
    <row r="234" spans="1:22">
      <c r="A234">
        <v>119</v>
      </c>
      <c r="B234" t="s">
        <v>209</v>
      </c>
      <c r="C234" t="s">
        <v>50</v>
      </c>
      <c r="D234" t="s">
        <v>51</v>
      </c>
      <c r="E234" t="s">
        <v>17</v>
      </c>
      <c r="F234">
        <v>1</v>
      </c>
      <c r="G234">
        <v>1</v>
      </c>
      <c r="H234">
        <v>28500</v>
      </c>
      <c r="I234">
        <v>1</v>
      </c>
      <c r="J234">
        <v>280000</v>
      </c>
      <c r="K234">
        <v>280000</v>
      </c>
      <c r="L234">
        <v>1</v>
      </c>
      <c r="M234">
        <v>175000</v>
      </c>
      <c r="N234">
        <v>185938</v>
      </c>
      <c r="O234">
        <v>1</v>
      </c>
      <c r="P234">
        <v>40000</v>
      </c>
      <c r="Q234">
        <v>8000</v>
      </c>
      <c r="R234">
        <v>20</v>
      </c>
      <c r="S234">
        <v>1</v>
      </c>
      <c r="T234">
        <v>4500</v>
      </c>
      <c r="U234">
        <v>0</v>
      </c>
      <c r="V234">
        <v>0</v>
      </c>
    </row>
    <row r="235" spans="1:22">
      <c r="A235">
        <v>120</v>
      </c>
      <c r="B235" t="s">
        <v>210</v>
      </c>
      <c r="C235" t="s">
        <v>50</v>
      </c>
      <c r="D235" t="s">
        <v>51</v>
      </c>
      <c r="E235" t="s">
        <v>17</v>
      </c>
      <c r="F235">
        <v>1</v>
      </c>
      <c r="G235">
        <v>1</v>
      </c>
      <c r="H235">
        <v>175500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 t="s">
        <v>52</v>
      </c>
      <c r="S235">
        <v>0</v>
      </c>
      <c r="T235">
        <v>0</v>
      </c>
      <c r="U235">
        <v>1</v>
      </c>
      <c r="V235">
        <v>1</v>
      </c>
    </row>
    <row r="236" spans="1:22">
      <c r="A236" t="s">
        <v>211</v>
      </c>
      <c r="V236">
        <f>SUBTOTAL(109,Table1[active_lockers])</f>
        <v>86</v>
      </c>
    </row>
  </sheetData>
  <pageMargins left="0.75" right="0.75" top="1" bottom="1" header="0.5" footer="0.5"/>
  <pageSetup paperSize="1" orientation="portrait"/>
  <headerFooter/>
  <drawing r:id="rId6"/>
  <tableParts count="1">
    <tablePart r:id="rId7"/>
  </tableParts>
  <extLst>
    <ext xmlns:x14="http://schemas.microsoft.com/office/spreadsheetml/2009/9/main" uri="{A8765BA9-456A-4dab-B4F3-ACF838C121DE}">
      <x14:slicerList>
        <x14:slicer r:id="rId8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kumku</dc:creator>
  <cp:lastModifiedBy>kumku</cp:lastModifiedBy>
  <dcterms:created xsi:type="dcterms:W3CDTF">2026-07-25T16:23:00Z</dcterms:created>
  <dcterms:modified xsi:type="dcterms:W3CDTF">2026-07-30T14:06:20Z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4574D4343BD6440C8757BD4E31F91E1C_13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</Properties>
</file>